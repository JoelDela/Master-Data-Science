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ntandernet-my.sharepoint.com/personal/n372281_gruposantander_es/Documents/Desktop/"/>
    </mc:Choice>
  </mc:AlternateContent>
  <xr:revisionPtr revIDLastSave="154" documentId="8_{CAB361F1-3B02-4196-859B-6776F8432200}" xr6:coauthVersionLast="44" xr6:coauthVersionMax="44" xr10:uidLastSave="{5533132A-46E1-4F8C-A0B8-3F9DB92BA8DD}"/>
  <bookViews>
    <workbookView xWindow="-120" yWindow="-120" windowWidth="20730" windowHeight="11160" activeTab="1" xr2:uid="{09DF2B64-5C5E-42D6-BDC9-617055A08F2C}"/>
  </bookViews>
  <sheets>
    <sheet name="AÑADIR" sheetId="4" r:id="rId1"/>
    <sheet name="RESUMEN" sheetId="6" r:id="rId2"/>
    <sheet name="Vuelos" sheetId="1" state="veryHidden" r:id="rId3"/>
    <sheet name="Alojamientos" sheetId="2" state="veryHidden" r:id="rId4"/>
    <sheet name="Query1" sheetId="3" state="veryHidden" r:id="rId5"/>
    <sheet name="Aux" sheetId="5" state="veryHidden" r:id="rId6"/>
  </sheets>
  <definedNames>
    <definedName name="Consulta_desde_Excel_Files_1" localSheetId="4" hidden="1">Query1!$A$1:$P$5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6" l="1" a="1"/>
  <c r="B7" i="6" s="1"/>
  <c r="A7" i="6" s="1"/>
  <c r="C7" i="6" a="1"/>
  <c r="C7" i="6" s="1"/>
  <c r="D7" i="6" a="1"/>
  <c r="D7" i="6" s="1"/>
  <c r="E7" i="6" a="1"/>
  <c r="E7" i="6" s="1"/>
  <c r="F7" i="6" a="1"/>
  <c r="F7" i="6" s="1"/>
  <c r="G7" i="6" a="1"/>
  <c r="G7" i="6" s="1"/>
  <c r="H7" i="6" a="1"/>
  <c r="H7" i="6" s="1"/>
  <c r="I7" i="6" a="1"/>
  <c r="I7" i="6" s="1"/>
  <c r="J7" i="6" a="1"/>
  <c r="J7" i="6" s="1"/>
  <c r="K7" i="6" a="1"/>
  <c r="K7" i="6" s="1"/>
  <c r="L7" i="6" a="1"/>
  <c r="L7" i="6" s="1"/>
  <c r="M7" i="6" a="1"/>
  <c r="M7" i="6" s="1"/>
  <c r="N7" i="6" a="1"/>
  <c r="N7" i="6" s="1"/>
  <c r="O7" i="6" a="1"/>
  <c r="O7" i="6" s="1"/>
  <c r="P7" i="6" a="1"/>
  <c r="P7" i="6" s="1"/>
  <c r="B8" i="6" a="1"/>
  <c r="B8" i="6" s="1"/>
  <c r="A8" i="6" s="1"/>
  <c r="C8" i="6" a="1"/>
  <c r="C8" i="6" s="1"/>
  <c r="D8" i="6" a="1"/>
  <c r="D8" i="6" s="1"/>
  <c r="E8" i="6" a="1"/>
  <c r="E8" i="6" s="1"/>
  <c r="F8" i="6" a="1"/>
  <c r="F8" i="6" s="1"/>
  <c r="G8" i="6" a="1"/>
  <c r="G8" i="6" s="1"/>
  <c r="H8" i="6" a="1"/>
  <c r="H8" i="6" s="1"/>
  <c r="I8" i="6" a="1"/>
  <c r="I8" i="6" s="1"/>
  <c r="J8" i="6" a="1"/>
  <c r="J8" i="6" s="1"/>
  <c r="K8" i="6" a="1"/>
  <c r="K8" i="6" s="1"/>
  <c r="L8" i="6" a="1"/>
  <c r="L8" i="6" s="1"/>
  <c r="M8" i="6" a="1"/>
  <c r="M8" i="6" s="1"/>
  <c r="N8" i="6" a="1"/>
  <c r="N8" i="6" s="1"/>
  <c r="O8" i="6" a="1"/>
  <c r="O8" i="6" s="1"/>
  <c r="P8" i="6" a="1"/>
  <c r="P8" i="6" s="1"/>
  <c r="B9" i="6" a="1"/>
  <c r="B9" i="6" s="1"/>
  <c r="A9" i="6" s="1"/>
  <c r="C9" i="6" a="1"/>
  <c r="C9" i="6" s="1"/>
  <c r="D9" i="6" a="1"/>
  <c r="D9" i="6" s="1"/>
  <c r="E9" i="6" a="1"/>
  <c r="E9" i="6" s="1"/>
  <c r="F9" i="6" a="1"/>
  <c r="F9" i="6" s="1"/>
  <c r="G9" i="6" a="1"/>
  <c r="G9" i="6" s="1"/>
  <c r="H9" i="6" a="1"/>
  <c r="H9" i="6" s="1"/>
  <c r="I9" i="6" a="1"/>
  <c r="I9" i="6" s="1"/>
  <c r="J9" i="6" a="1"/>
  <c r="J9" i="6" s="1"/>
  <c r="K9" i="6" a="1"/>
  <c r="K9" i="6" s="1"/>
  <c r="L9" i="6" a="1"/>
  <c r="L9" i="6" s="1"/>
  <c r="M9" i="6" a="1"/>
  <c r="M9" i="6" s="1"/>
  <c r="N9" i="6" a="1"/>
  <c r="N9" i="6" s="1"/>
  <c r="O9" i="6" a="1"/>
  <c r="O9" i="6" s="1"/>
  <c r="P9" i="6" a="1"/>
  <c r="P9" i="6" s="1"/>
  <c r="B10" i="6" a="1"/>
  <c r="B10" i="6" s="1"/>
  <c r="A10" i="6" s="1"/>
  <c r="C10" i="6" a="1"/>
  <c r="C10" i="6" s="1"/>
  <c r="D10" i="6" a="1"/>
  <c r="D10" i="6" s="1"/>
  <c r="E10" i="6" a="1"/>
  <c r="E10" i="6" s="1"/>
  <c r="F10" i="6" a="1"/>
  <c r="F10" i="6" s="1"/>
  <c r="G10" i="6" a="1"/>
  <c r="G10" i="6" s="1"/>
  <c r="H10" i="6" a="1"/>
  <c r="H10" i="6" s="1"/>
  <c r="I10" i="6" a="1"/>
  <c r="I10" i="6" s="1"/>
  <c r="J10" i="6" a="1"/>
  <c r="J10" i="6" s="1"/>
  <c r="K10" i="6" a="1"/>
  <c r="K10" i="6" s="1"/>
  <c r="L10" i="6" a="1"/>
  <c r="L10" i="6" s="1"/>
  <c r="M10" i="6" a="1"/>
  <c r="M10" i="6" s="1"/>
  <c r="N10" i="6" a="1"/>
  <c r="N10" i="6" s="1"/>
  <c r="O10" i="6" a="1"/>
  <c r="O10" i="6" s="1"/>
  <c r="P10" i="6" a="1"/>
  <c r="P10" i="6"/>
  <c r="B11" i="6" a="1"/>
  <c r="B11" i="6" s="1"/>
  <c r="A11" i="6" s="1"/>
  <c r="C11" i="6" a="1"/>
  <c r="C11" i="6" s="1"/>
  <c r="D11" i="6" a="1"/>
  <c r="D11" i="6" s="1"/>
  <c r="E11" i="6" a="1"/>
  <c r="E11" i="6" s="1"/>
  <c r="F11" i="6" a="1"/>
  <c r="F11" i="6" s="1"/>
  <c r="G11" i="6" a="1"/>
  <c r="G11" i="6" s="1"/>
  <c r="H11" i="6" a="1"/>
  <c r="H11" i="6" s="1"/>
  <c r="I11" i="6" a="1"/>
  <c r="I11" i="6" s="1"/>
  <c r="J11" i="6" a="1"/>
  <c r="J11" i="6" s="1"/>
  <c r="K11" i="6" a="1"/>
  <c r="K11" i="6" s="1"/>
  <c r="L11" i="6" a="1"/>
  <c r="L11" i="6" s="1"/>
  <c r="M11" i="6" a="1"/>
  <c r="M11" i="6" s="1"/>
  <c r="N11" i="6" a="1"/>
  <c r="N11" i="6" s="1"/>
  <c r="O11" i="6" a="1"/>
  <c r="O11" i="6" s="1"/>
  <c r="P11" i="6" a="1"/>
  <c r="P11" i="6" s="1"/>
  <c r="B12" i="6" a="1"/>
  <c r="B12" i="6" s="1"/>
  <c r="A12" i="6" s="1"/>
  <c r="C12" i="6" a="1"/>
  <c r="C12" i="6" s="1"/>
  <c r="D12" i="6" a="1"/>
  <c r="D12" i="6" s="1"/>
  <c r="E12" i="6" a="1"/>
  <c r="E12" i="6" s="1"/>
  <c r="F12" i="6" a="1"/>
  <c r="F12" i="6" s="1"/>
  <c r="G12" i="6" a="1"/>
  <c r="G12" i="6" s="1"/>
  <c r="H12" i="6" a="1"/>
  <c r="H12" i="6" s="1"/>
  <c r="I12" i="6" a="1"/>
  <c r="I12" i="6" s="1"/>
  <c r="J12" i="6" a="1"/>
  <c r="J12" i="6" s="1"/>
  <c r="K12" i="6" a="1"/>
  <c r="K12" i="6" s="1"/>
  <c r="L12" i="6" a="1"/>
  <c r="L12" i="6" s="1"/>
  <c r="M12" i="6" a="1"/>
  <c r="M12" i="6" s="1"/>
  <c r="N12" i="6" a="1"/>
  <c r="N12" i="6" s="1"/>
  <c r="O12" i="6" a="1"/>
  <c r="O12" i="6" s="1"/>
  <c r="P12" i="6" a="1"/>
  <c r="P12" i="6" s="1"/>
  <c r="B13" i="6" a="1"/>
  <c r="B13" i="6" s="1"/>
  <c r="A13" i="6" s="1"/>
  <c r="C13" i="6" a="1"/>
  <c r="C13" i="6" s="1"/>
  <c r="D13" i="6" a="1"/>
  <c r="D13" i="6" s="1"/>
  <c r="E13" i="6" a="1"/>
  <c r="E13" i="6" s="1"/>
  <c r="F13" i="6" a="1"/>
  <c r="F13" i="6" s="1"/>
  <c r="G13" i="6" a="1"/>
  <c r="G13" i="6" s="1"/>
  <c r="H13" i="6" a="1"/>
  <c r="H13" i="6" s="1"/>
  <c r="I13" i="6" a="1"/>
  <c r="I13" i="6" s="1"/>
  <c r="J13" i="6" a="1"/>
  <c r="J13" i="6" s="1"/>
  <c r="K13" i="6" a="1"/>
  <c r="K13" i="6" s="1"/>
  <c r="L13" i="6" a="1"/>
  <c r="L13" i="6" s="1"/>
  <c r="M13" i="6" a="1"/>
  <c r="M13" i="6" s="1"/>
  <c r="N13" i="6" a="1"/>
  <c r="N13" i="6" s="1"/>
  <c r="O13" i="6" a="1"/>
  <c r="O13" i="6" s="1"/>
  <c r="P13" i="6" a="1"/>
  <c r="P13" i="6" s="1"/>
  <c r="B14" i="6" a="1"/>
  <c r="B14" i="6" s="1"/>
  <c r="A14" i="6" s="1"/>
  <c r="C14" i="6" a="1"/>
  <c r="C14" i="6" s="1"/>
  <c r="D14" i="6" a="1"/>
  <c r="D14" i="6" s="1"/>
  <c r="E14" i="6" a="1"/>
  <c r="E14" i="6" s="1"/>
  <c r="F14" i="6" a="1"/>
  <c r="F14" i="6" s="1"/>
  <c r="G14" i="6" a="1"/>
  <c r="G14" i="6" s="1"/>
  <c r="H14" i="6" a="1"/>
  <c r="H14" i="6" s="1"/>
  <c r="I14" i="6" a="1"/>
  <c r="I14" i="6" s="1"/>
  <c r="J14" i="6" a="1"/>
  <c r="J14" i="6" s="1"/>
  <c r="K14" i="6" a="1"/>
  <c r="K14" i="6" s="1"/>
  <c r="L14" i="6" a="1"/>
  <c r="L14" i="6" s="1"/>
  <c r="M14" i="6" a="1"/>
  <c r="M14" i="6" s="1"/>
  <c r="N14" i="6" a="1"/>
  <c r="N14" i="6" s="1"/>
  <c r="O14" i="6" a="1"/>
  <c r="O14" i="6" s="1"/>
  <c r="P14" i="6" a="1"/>
  <c r="P14" i="6" s="1"/>
  <c r="B15" i="6" a="1"/>
  <c r="B15" i="6" s="1"/>
  <c r="A15" i="6" s="1"/>
  <c r="C15" i="6" a="1"/>
  <c r="C15" i="6" s="1"/>
  <c r="D15" i="6" a="1"/>
  <c r="D15" i="6" s="1"/>
  <c r="E15" i="6" a="1"/>
  <c r="E15" i="6" s="1"/>
  <c r="F15" i="6" a="1"/>
  <c r="F15" i="6" s="1"/>
  <c r="G15" i="6" a="1"/>
  <c r="G15" i="6" s="1"/>
  <c r="H15" i="6" a="1"/>
  <c r="H15" i="6" s="1"/>
  <c r="I15" i="6" a="1"/>
  <c r="I15" i="6" s="1"/>
  <c r="J15" i="6" a="1"/>
  <c r="J15" i="6" s="1"/>
  <c r="K15" i="6" a="1"/>
  <c r="K15" i="6" s="1"/>
  <c r="L15" i="6" a="1"/>
  <c r="L15" i="6" s="1"/>
  <c r="M15" i="6" a="1"/>
  <c r="M15" i="6" s="1"/>
  <c r="N15" i="6" a="1"/>
  <c r="N15" i="6" s="1"/>
  <c r="O15" i="6" a="1"/>
  <c r="O15" i="6" s="1"/>
  <c r="P15" i="6" a="1"/>
  <c r="P15" i="6" s="1"/>
  <c r="B6" i="6" a="1"/>
  <c r="B6" i="6" s="1"/>
  <c r="A6" i="6" s="1"/>
  <c r="C6" i="6" a="1"/>
  <c r="C6" i="6" s="1"/>
  <c r="D6" i="6" a="1"/>
  <c r="D6" i="6" s="1"/>
  <c r="E6" i="6" a="1"/>
  <c r="E6" i="6" s="1"/>
  <c r="F6" i="6" a="1"/>
  <c r="F6" i="6" s="1"/>
  <c r="G6" i="6" a="1"/>
  <c r="G6" i="6" s="1"/>
  <c r="H6" i="6" a="1"/>
  <c r="H6" i="6" s="1"/>
  <c r="I6" i="6" a="1"/>
  <c r="I6" i="6" s="1"/>
  <c r="J6" i="6" a="1"/>
  <c r="J6" i="6" s="1"/>
  <c r="K6" i="6" a="1"/>
  <c r="K6" i="6" s="1"/>
  <c r="L6" i="6" a="1"/>
  <c r="L6" i="6" s="1"/>
  <c r="M6" i="6" a="1"/>
  <c r="M6" i="6" s="1"/>
  <c r="N6" i="6" a="1"/>
  <c r="N6" i="6" s="1"/>
  <c r="O6" i="6" a="1"/>
  <c r="O6" i="6" s="1"/>
  <c r="P6" i="6" a="1"/>
  <c r="P6" i="6" s="1"/>
  <c r="C5" i="6" a="1"/>
  <c r="C5" i="6" s="1"/>
  <c r="D5" i="6" a="1"/>
  <c r="D5" i="6" s="1"/>
  <c r="E5" i="6" a="1"/>
  <c r="E5" i="6" s="1"/>
  <c r="F5" i="6" a="1"/>
  <c r="F5" i="6" s="1"/>
  <c r="G5" i="6" a="1"/>
  <c r="G5" i="6" s="1"/>
  <c r="H5" i="6" a="1"/>
  <c r="H5" i="6" s="1"/>
  <c r="I5" i="6" a="1"/>
  <c r="I5" i="6" s="1"/>
  <c r="J5" i="6" a="1"/>
  <c r="J5" i="6" s="1"/>
  <c r="K5" i="6" a="1"/>
  <c r="K5" i="6" s="1"/>
  <c r="L5" i="6" a="1"/>
  <c r="L5" i="6" s="1"/>
  <c r="M5" i="6" a="1"/>
  <c r="M5" i="6" s="1"/>
  <c r="N5" i="6" a="1"/>
  <c r="N5" i="6" s="1"/>
  <c r="O5" i="6" a="1"/>
  <c r="O5" i="6" s="1"/>
  <c r="P5" i="6" a="1"/>
  <c r="P5" i="6" s="1"/>
  <c r="B5" i="6" a="1"/>
  <c r="B5" i="6" s="1"/>
  <c r="A5" i="6" s="1"/>
  <c r="K2" i="1" l="1"/>
  <c r="K3" i="1"/>
  <c r="H2" i="2"/>
  <c r="H3" i="2"/>
  <c r="H4" i="2"/>
  <c r="H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775FDF-48D6-4F54-95B1-37FEE013C58E}" name="Consulta desde Excel Files" type="1" refreshedVersion="6" background="1" saveData="1">
    <dbPr connection="DSN=Excel Files;DBQ=C:\Users\N372281\OneDrive - Santander Office 365\Desktop\prueba.xlsx;DefaultDir=C:\Users\N372281\OneDrive - Santander Office 365\Desktop;DriverId=1046;MaxBufferSize=2048;PageTimeout=5;" command="SELECT `Vuelos$`.Destino, `Vuelos$`.Fecha_Ida, `Vuelos$`.Fecha_Vuelta, `Vuelos$`.Vuelo_ida, `Vuelos$`.Vuelo_vuelta, `Vuelos$`.Tiempo_Vuelo_Ida, `Vuelos$`.Tiempo_Vuelo_Vuelta, `Vuelos$`.Precio_Ida, `Vuelos$`.Precio_Vuelta, `Vuelos$`.Total, `Vuelos$`.Tiempo_estancia2, `Alojamientos$`.Sitio, `Alojamientos$`.URL, `Alojamientos$`.Personas, `Alojamientos$`.Precio, `Alojamientos$`.Por_persona2_x000d__x000a_FROM `Alojamientos$` `Alojamientos$`, `Vuelos$` `Vuelos$`_x000d__x000a_WHERE `Alojamientos$`.Destino = `Vuelos$`.Destino AND `Alojamientos$`.Fecha_Ida = `Vuelos$`.Fecha_Ida AND `Alojamientos$`.Fecha_Vuelta = `Vuelos$`.Fecha_Vuelta"/>
  </connection>
</connections>
</file>

<file path=xl/sharedStrings.xml><?xml version="1.0" encoding="utf-8"?>
<sst xmlns="http://schemas.openxmlformats.org/spreadsheetml/2006/main" count="88" uniqueCount="48">
  <si>
    <t>Destino</t>
  </si>
  <si>
    <t>Precio</t>
  </si>
  <si>
    <t>Total</t>
  </si>
  <si>
    <t>Paris</t>
  </si>
  <si>
    <t>Oporto</t>
  </si>
  <si>
    <t>Sitio</t>
  </si>
  <si>
    <t>URL</t>
  </si>
  <si>
    <t>Personas</t>
  </si>
  <si>
    <t>Casita 1</t>
  </si>
  <si>
    <t>url1</t>
  </si>
  <si>
    <t>Hotel 1</t>
  </si>
  <si>
    <t>url2</t>
  </si>
  <si>
    <t>Hotel 2</t>
  </si>
  <si>
    <t>url3</t>
  </si>
  <si>
    <t>Casa op</t>
  </si>
  <si>
    <t>url4</t>
  </si>
  <si>
    <t>Fecha_Vuelta</t>
  </si>
  <si>
    <t>Vuelo_ida</t>
  </si>
  <si>
    <t>Vuelo_vuelta</t>
  </si>
  <si>
    <t>Precio_Ida</t>
  </si>
  <si>
    <t>Precio_Vuelta</t>
  </si>
  <si>
    <t>Intrduce aquí los datos</t>
  </si>
  <si>
    <t>Fecha de ida</t>
  </si>
  <si>
    <t>Fecha de vuelta</t>
  </si>
  <si>
    <t>Hora de salida del vuelo</t>
  </si>
  <si>
    <t>Hora de vuelta del vuelo</t>
  </si>
  <si>
    <t>Tiempo de vuelo ida</t>
  </si>
  <si>
    <t>Tiempo de vuelo vuelta</t>
  </si>
  <si>
    <t>Tiempo_Vuelo_Ida</t>
  </si>
  <si>
    <t>Tiempo_Vuelo_Vuelta</t>
  </si>
  <si>
    <t>Por_persona2</t>
  </si>
  <si>
    <t>Tiempo_estancia2</t>
  </si>
  <si>
    <t>Fecha_Ida</t>
  </si>
  <si>
    <t>Fecha de Ida</t>
  </si>
  <si>
    <t>Fecha de Vuelta</t>
  </si>
  <si>
    <t>Hora de salida</t>
  </si>
  <si>
    <t>Hora de vuelta</t>
  </si>
  <si>
    <t>Duración del vuelo de ida</t>
  </si>
  <si>
    <t>Duración del vuelo de vuelta</t>
  </si>
  <si>
    <t>Precio del vuelo de ida</t>
  </si>
  <si>
    <t>Precio del vuelo de vuelta</t>
  </si>
  <si>
    <t>Total Vuelo</t>
  </si>
  <si>
    <t>Tiempo de estancia</t>
  </si>
  <si>
    <t>Alojamiento</t>
  </si>
  <si>
    <t>URL Alojamiento</t>
  </si>
  <si>
    <t>Precio Alojamiento</t>
  </si>
  <si>
    <t>Precio por persona</t>
  </si>
  <si>
    <t>¡Bienvenido! ¿Dónde te gustaría ir?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</si>
</sst>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43" formatCode="_-* #,##0.00_-;\-* #,##0.00_-;_-* &quot;-&quot;??_-;_-@_-"/>
    <numFmt numFmtId="174" formatCode="[$-F400]h:mm:ss\ AM/PM"/>
    <numFmt numFmtId="177" formatCode="_-* #,##0_-;\-* #,##0_-;_-* &quot;-&quot;??_-;_-@_-"/>
    <numFmt numFmtId="180" formatCode="0.00\ &quot;días&quot;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2">
    <xf numFmtId="0" fontId="0" fillId="0" borderId="0" xfId="0"/>
    <xf numFmtId="16" fontId="0" fillId="0" borderId="0" xfId="0" applyNumberFormat="1"/>
    <xf numFmtId="22" fontId="0" fillId="0" borderId="0" xfId="0" applyNumberFormat="1"/>
    <xf numFmtId="2" fontId="0" fillId="0" borderId="0" xfId="0" applyNumberFormat="1"/>
    <xf numFmtId="174" fontId="0" fillId="0" borderId="0" xfId="0" applyNumberFormat="1"/>
    <xf numFmtId="14" fontId="0" fillId="0" borderId="0" xfId="0" applyNumberFormat="1"/>
    <xf numFmtId="0" fontId="0" fillId="0" borderId="0" xfId="0" applyNumberFormat="1"/>
    <xf numFmtId="44" fontId="0" fillId="0" borderId="0" xfId="2" applyFont="1"/>
    <xf numFmtId="43" fontId="0" fillId="0" borderId="0" xfId="1" applyFont="1"/>
    <xf numFmtId="43" fontId="0" fillId="0" borderId="0" xfId="1" applyNumberFormat="1" applyFont="1"/>
    <xf numFmtId="177" fontId="0" fillId="0" borderId="0" xfId="1" applyNumberFormat="1" applyFont="1"/>
    <xf numFmtId="0" fontId="4" fillId="2" borderId="0" xfId="0" applyFont="1" applyFill="1" applyAlignment="1">
      <alignment horizontal="center" vertical="center"/>
    </xf>
    <xf numFmtId="0" fontId="2" fillId="0" borderId="0" xfId="0" applyFont="1"/>
    <xf numFmtId="14" fontId="2" fillId="0" borderId="0" xfId="0" applyNumberFormat="1" applyFont="1"/>
    <xf numFmtId="174" fontId="2" fillId="0" borderId="0" xfId="0" applyNumberFormat="1" applyFont="1"/>
    <xf numFmtId="44" fontId="2" fillId="0" borderId="0" xfId="2" applyFont="1"/>
    <xf numFmtId="180" fontId="0" fillId="0" borderId="0" xfId="1" applyNumberFormat="1" applyFont="1"/>
    <xf numFmtId="180" fontId="2" fillId="0" borderId="0" xfId="1" applyNumberFormat="1" applyFont="1"/>
    <xf numFmtId="0" fontId="5" fillId="5" borderId="0" xfId="0" applyFont="1" applyFill="1" applyAlignment="1">
      <alignment horizontal="center" vertical="center"/>
    </xf>
    <xf numFmtId="0" fontId="6" fillId="3" borderId="1" xfId="0" applyFont="1" applyFill="1" applyBorder="1"/>
    <xf numFmtId="14" fontId="6" fillId="3" borderId="1" xfId="0" applyNumberFormat="1" applyFont="1" applyFill="1" applyBorder="1"/>
    <xf numFmtId="174" fontId="6" fillId="3" borderId="1" xfId="0" applyNumberFormat="1" applyFont="1" applyFill="1" applyBorder="1"/>
    <xf numFmtId="44" fontId="6" fillId="3" borderId="1" xfId="2" applyFont="1" applyFill="1" applyBorder="1"/>
    <xf numFmtId="180" fontId="6" fillId="3" borderId="1" xfId="1" applyNumberFormat="1" applyFont="1" applyFill="1" applyBorder="1"/>
    <xf numFmtId="0" fontId="2" fillId="4" borderId="2" xfId="0" applyFont="1" applyFill="1" applyBorder="1"/>
    <xf numFmtId="14" fontId="2" fillId="2" borderId="2" xfId="0" applyNumberFormat="1" applyFont="1" applyFill="1" applyBorder="1"/>
    <xf numFmtId="174" fontId="2" fillId="2" borderId="2" xfId="0" applyNumberFormat="1" applyFont="1" applyFill="1" applyBorder="1"/>
    <xf numFmtId="44" fontId="2" fillId="2" borderId="2" xfId="2" applyFont="1" applyFill="1" applyBorder="1"/>
    <xf numFmtId="180" fontId="2" fillId="2" borderId="2" xfId="1" applyNumberFormat="1" applyFont="1" applyFill="1" applyBorder="1"/>
    <xf numFmtId="0" fontId="2" fillId="2" borderId="2" xfId="0" applyFont="1" applyFill="1" applyBorder="1"/>
    <xf numFmtId="0" fontId="2" fillId="4" borderId="3" xfId="0" applyFont="1" applyFill="1" applyBorder="1"/>
    <xf numFmtId="14" fontId="2" fillId="2" borderId="3" xfId="0" applyNumberFormat="1" applyFont="1" applyFill="1" applyBorder="1"/>
    <xf numFmtId="174" fontId="2" fillId="2" borderId="3" xfId="0" applyNumberFormat="1" applyFont="1" applyFill="1" applyBorder="1"/>
    <xf numFmtId="44" fontId="2" fillId="2" borderId="3" xfId="2" applyFont="1" applyFill="1" applyBorder="1"/>
    <xf numFmtId="180" fontId="2" fillId="2" borderId="3" xfId="1" applyNumberFormat="1" applyFont="1" applyFill="1" applyBorder="1"/>
    <xf numFmtId="0" fontId="2" fillId="2" borderId="3" xfId="0" applyFont="1" applyFill="1" applyBorder="1"/>
    <xf numFmtId="0" fontId="2" fillId="4" borderId="4" xfId="0" applyFont="1" applyFill="1" applyBorder="1"/>
    <xf numFmtId="14" fontId="2" fillId="2" borderId="4" xfId="0" applyNumberFormat="1" applyFont="1" applyFill="1" applyBorder="1"/>
    <xf numFmtId="174" fontId="2" fillId="2" borderId="4" xfId="0" applyNumberFormat="1" applyFont="1" applyFill="1" applyBorder="1"/>
    <xf numFmtId="44" fontId="2" fillId="2" borderId="4" xfId="2" applyFont="1" applyFill="1" applyBorder="1"/>
    <xf numFmtId="180" fontId="2" fillId="2" borderId="4" xfId="1" applyNumberFormat="1" applyFont="1" applyFill="1" applyBorder="1"/>
    <xf numFmtId="0" fontId="2" fillId="2" borderId="4" xfId="0" applyFont="1" applyFill="1" applyBorder="1"/>
  </cellXfs>
  <cellStyles count="3">
    <cellStyle name="Millares" xfId="1" builtinId="3"/>
    <cellStyle name="Moneda" xfId="2" builtinId="4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77" formatCode="_-* #,##0_-;\-* #,##0_-;_-* &quot;-&quot;??_-;_-@_-"/>
    </dxf>
    <dxf>
      <numFmt numFmtId="27" formatCode="dd/mm/yyyy\ h:mm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74" formatCode="[$-F400]h:mm:ss\ AM/PM"/>
    </dxf>
    <dxf>
      <numFmt numFmtId="174" formatCode="[$-F400]h:mm:ss\ AM/PM"/>
    </dxf>
    <dxf>
      <numFmt numFmtId="174" formatCode="[$-F400]h:mm:ss\ AM/PM"/>
    </dxf>
    <dxf>
      <numFmt numFmtId="174" formatCode="[$-F400]h:mm:ss\ AM/PM"/>
    </dxf>
    <dxf>
      <numFmt numFmtId="19" formatCode="dd/mm/yyyy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1" formatCode="dd\-mmm"/>
    </dxf>
    <dxf>
      <numFmt numFmtId="21" formatCode="dd\-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0</xdr:row>
          <xdr:rowOff>9525</xdr:rowOff>
        </xdr:from>
        <xdr:to>
          <xdr:col>6</xdr:col>
          <xdr:colOff>2095500</xdr:colOff>
          <xdr:row>2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F3DE1E62-9062-471D-9BFF-A235639EA7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Excel Files_1" connectionId="1" xr16:uid="{CE6D2F19-D8E9-4B8C-89BB-54895176D3FA}" autoFormatId="16" applyNumberFormats="0" applyBorderFormats="0" applyFontFormats="0" applyPatternFormats="0" applyAlignmentFormats="0" applyWidthHeightFormats="0">
  <queryTableRefresh nextId="17">
    <queryTableFields count="16">
      <queryTableField id="1" name="Destino" tableColumnId="1"/>
      <queryTableField id="2" name="Fecha_Ida" tableColumnId="2"/>
      <queryTableField id="3" name="Fecha_Vuelta" tableColumnId="3"/>
      <queryTableField id="4" name="Vuelo_ida" tableColumnId="4"/>
      <queryTableField id="5" name="Vuelo_vuelta" tableColumnId="5"/>
      <queryTableField id="6" name="Tiempo_Vuelo_Ida" tableColumnId="6"/>
      <queryTableField id="7" name="Tiempo_Vuelo_Vuelta" tableColumnId="7"/>
      <queryTableField id="8" name="Precio_Ida" tableColumnId="8"/>
      <queryTableField id="9" name="Precio_Vuelta" tableColumnId="9"/>
      <queryTableField id="10" name="Total" tableColumnId="10"/>
      <queryTableField id="11" name="Tiempo_estancia2" tableColumnId="11"/>
      <queryTableField id="12" name="Sitio" tableColumnId="12"/>
      <queryTableField id="13" name="URL" tableColumnId="13"/>
      <queryTableField id="14" name="Personas" tableColumnId="14"/>
      <queryTableField id="15" name="Precio" tableColumnId="15"/>
      <queryTableField id="16" name="Por_persona2" tableColumnId="1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50952B-F25C-4D56-92FD-A30F23F55E5C}" name="Tabla1" displayName="Tabla1" ref="A1:K3" totalsRowShown="0">
  <autoFilter ref="A1:K3" xr:uid="{794FE543-6EF7-4AD8-8547-6DB5947373AA}"/>
  <tableColumns count="11">
    <tableColumn id="1" xr3:uid="{E3EB2EDD-3772-4A11-92E6-D420255EA177}" name="Destino"/>
    <tableColumn id="2" xr3:uid="{2CED774A-50FF-4EBE-8EC8-7FA89B5DE151}" name="Fecha_Ida"/>
    <tableColumn id="3" xr3:uid="{669613CC-C25B-41B6-B8CE-B296C1705D3B}" name="Fecha_Vuelta"/>
    <tableColumn id="4" xr3:uid="{DD026038-FA01-48E7-9B2E-8DCC862841DD}" name="Vuelo_ida" dataDxfId="17"/>
    <tableColumn id="6" xr3:uid="{72FF2F76-879B-43DC-9EE9-707BE5A6AFDF}" name="Vuelo_vuelta" dataDxfId="16"/>
    <tableColumn id="10" xr3:uid="{72FE062E-F14D-4F5F-B55E-814C151FFDDB}" name="Tiempo_Vuelo_Ida" dataDxfId="15"/>
    <tableColumn id="11" xr3:uid="{98C57859-24F9-4E57-94C0-DAF31D446CD7}" name="Tiempo_Vuelo_Vuelta" dataDxfId="14"/>
    <tableColumn id="5" xr3:uid="{4415B1FF-A87B-4C23-AEED-125D3E72DFEA}" name="Precio_Ida" dataCellStyle="Moneda"/>
    <tableColumn id="7" xr3:uid="{46B85BD0-6000-4D5C-8D62-CEBD00120F84}" name="Precio_Vuelta" dataCellStyle="Moneda"/>
    <tableColumn id="8" xr3:uid="{B1A442C4-5532-48B6-B233-8D6B316DEBC9}" name="Total" dataCellStyle="Moneda"/>
    <tableColumn id="12" xr3:uid="{08F8A265-034D-4731-8A6E-B43FC715D15B}" name="Tiempo_estancia2" dataCellStyle="Millares">
      <calculatedColumnFormula>(DATEVALUE(TEXT(Tabla1[[#This Row],[Fecha_Vuelta]],"dd/mm/aaaa"))+TIMEVALUE(TEXT(Tabla1[[#This Row],[Vuelo_vuelta]],"hh:mm"))-TIMEVALUE(TEXT(Tabla1[[#This Row],[Tiempo_Vuelo_Vuelta]],"hh:mm")))-(DATEVALUE(TEXT(Tabla1[[#This Row],[Fecha_Ida]],"dd/mm/aaaa"))+TIMEVALUE(TEXT(Tabla1[[#This Row],[Vuelo_ida]],"hh:mm"))+TIMEVALUE(TEXT(Tabla1[[#This Row],[Tiempo_Vuelo_Ida]],"hh:mm")))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426EE5-AAE6-497F-951B-0F7E5903071D}" name="Tabla2" displayName="Tabla2" ref="A1:H5" totalsRowShown="0">
  <autoFilter ref="A1:H5" xr:uid="{7D851FB2-9686-4B84-8400-A1685689B6A3}"/>
  <tableColumns count="8">
    <tableColumn id="1" xr3:uid="{6045B282-E7E4-4213-B7D7-131A7AD98EF6}" name="Destino"/>
    <tableColumn id="2" xr3:uid="{415BDC78-4A2E-4391-BE6E-88319D5A3783}" name="Fecha_Ida" dataDxfId="20"/>
    <tableColumn id="3" xr3:uid="{2C47FF29-BAEC-4AEA-818B-910B41F6BDBB}" name="Fecha_Vuelta" dataDxfId="19"/>
    <tableColumn id="4" xr3:uid="{0F936ABC-088F-4CFD-8EB6-0BAC4CC12C6A}" name="Sitio"/>
    <tableColumn id="5" xr3:uid="{8FB3EB53-63EE-422F-9FA8-86FCF6753E32}" name="URL"/>
    <tableColumn id="6" xr3:uid="{D22D1EEA-A800-4184-98D4-B895AA875CB2}" name="Personas"/>
    <tableColumn id="7" xr3:uid="{93FBCA19-3FE0-40BA-92E5-D7850CFF29C2}" name="Precio"/>
    <tableColumn id="9" xr3:uid="{BB802909-58F5-4B6E-A89B-E8590275DF41}" name="Por_persona2" dataDxfId="18">
      <calculatedColumnFormula>Tabla2[[#This Row],[Precio]]/Tabla2[[#This Row],[Personas]]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7C8FF2-7B70-4F27-A1D7-46F2798490F6}" name="Tabla_Consulta_desde_Excel_Files_1" displayName="Tabla_Consulta_desde_Excel_Files_1" ref="A1:P5" tableType="queryTable" totalsRowShown="0">
  <autoFilter ref="A1:P5" xr:uid="{8595FE0E-97A6-4E3F-ACDC-C5403EE13B0E}"/>
  <tableColumns count="16">
    <tableColumn id="1" xr3:uid="{491D2366-E7BC-4623-8231-FCDE9787175F}" uniqueName="1" name="Destino" queryTableFieldId="1"/>
    <tableColumn id="2" xr3:uid="{CABA4F4C-E7A3-423A-99D3-84E546BCA39B}" uniqueName="2" name="Fecha_Ida" queryTableFieldId="2" dataDxfId="13"/>
    <tableColumn id="3" xr3:uid="{B5E83098-B19F-4BA6-83F2-9C9FEA7F4694}" uniqueName="3" name="Fecha_Vuelta" queryTableFieldId="3" dataDxfId="12"/>
    <tableColumn id="4" xr3:uid="{F911F6A6-FD7F-4CA5-A41A-B0FFE9B7AD90}" uniqueName="4" name="Vuelo_ida" queryTableFieldId="4" dataDxfId="11"/>
    <tableColumn id="5" xr3:uid="{9F21F5EB-555D-48E2-96DB-F637F9535FB5}" uniqueName="5" name="Vuelo_vuelta" queryTableFieldId="5" dataDxfId="10"/>
    <tableColumn id="6" xr3:uid="{E8CDB39A-83A4-4013-906A-2FAE7487C627}" uniqueName="6" name="Tiempo_Vuelo_Ida" queryTableFieldId="6" dataDxfId="9"/>
    <tableColumn id="7" xr3:uid="{3124B3BE-2339-42DB-BF65-EAC81CEF2083}" uniqueName="7" name="Tiempo_Vuelo_Vuelta" queryTableFieldId="7" dataDxfId="8"/>
    <tableColumn id="8" xr3:uid="{90EF07A2-7640-40CC-BF76-20D7F73CBAB1}" uniqueName="8" name="Precio_Ida" queryTableFieldId="8" dataDxfId="7" dataCellStyle="Moneda"/>
    <tableColumn id="9" xr3:uid="{65DFB425-5508-4829-83E9-82CA8677611E}" uniqueName="9" name="Precio_Vuelta" queryTableFieldId="9" dataDxfId="6" dataCellStyle="Moneda"/>
    <tableColumn id="10" xr3:uid="{9473758A-87D3-42D6-89A3-53A1A0058CD6}" uniqueName="10" name="Total" queryTableFieldId="10" dataDxfId="5" dataCellStyle="Moneda"/>
    <tableColumn id="11" xr3:uid="{4FBE41C7-D5FA-41B6-9A93-ECB4DF1C8D3C}" uniqueName="11" name="Tiempo_estancia2" queryTableFieldId="11" dataDxfId="4" dataCellStyle="Millares"/>
    <tableColumn id="12" xr3:uid="{C1D3B543-1AA1-4284-993D-FF19B55AA57B}" uniqueName="12" name="Sitio" queryTableFieldId="12" dataDxfId="3"/>
    <tableColumn id="13" xr3:uid="{4FBD3AC0-C7C4-49D7-A386-36281F323D18}" uniqueName="13" name="URL" queryTableFieldId="13"/>
    <tableColumn id="14" xr3:uid="{810380A1-4ABB-4BBF-BDAA-AA7E249E0F4F}" uniqueName="14" name="Personas" queryTableFieldId="14" dataDxfId="2" dataCellStyle="Millares"/>
    <tableColumn id="15" xr3:uid="{BD98AFD0-7360-4251-A906-5636E60155ED}" uniqueName="15" name="Precio" queryTableFieldId="15" dataDxfId="1" dataCellStyle="Moneda"/>
    <tableColumn id="16" xr3:uid="{71D5FB3A-38FA-47A9-AF55-01EEE36C1F6C}" uniqueName="16" name="Por_persona2" queryTableFieldId="16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F0BCE-8ABC-4434-91D1-DD6A63D47E30}">
  <sheetPr codeName="Hoja1"/>
  <dimension ref="A4:A10"/>
  <sheetViews>
    <sheetView workbookViewId="0">
      <selection activeCell="A11" sqref="A11"/>
    </sheetView>
  </sheetViews>
  <sheetFormatPr baseColWidth="10" defaultRowHeight="15" x14ac:dyDescent="0.25"/>
  <sheetData>
    <row r="4" spans="1:1" x14ac:dyDescent="0.25">
      <c r="A4" t="s">
        <v>21</v>
      </c>
    </row>
    <row r="5" spans="1:1" x14ac:dyDescent="0.25">
      <c r="A5" t="s">
        <v>22</v>
      </c>
    </row>
    <row r="6" spans="1:1" x14ac:dyDescent="0.25">
      <c r="A6" t="s">
        <v>23</v>
      </c>
    </row>
    <row r="7" spans="1:1" x14ac:dyDescent="0.25">
      <c r="A7" t="s">
        <v>24</v>
      </c>
    </row>
    <row r="8" spans="1:1" x14ac:dyDescent="0.25">
      <c r="A8" t="s">
        <v>25</v>
      </c>
    </row>
    <row r="9" spans="1:1" x14ac:dyDescent="0.25">
      <c r="A9" t="s">
        <v>26</v>
      </c>
    </row>
    <row r="10" spans="1:1" x14ac:dyDescent="0.25">
      <c r="A10" t="s">
        <v>27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4FFEE-C997-4361-AD8B-6E171B42A3D3}">
  <sheetPr codeName="Hoja6"/>
  <dimension ref="A1:P30"/>
  <sheetViews>
    <sheetView showGridLines="0" tabSelected="1" workbookViewId="0">
      <selection activeCell="B17" sqref="B17"/>
    </sheetView>
  </sheetViews>
  <sheetFormatPr baseColWidth="10" defaultRowHeight="15" x14ac:dyDescent="0.25"/>
  <cols>
    <col min="1" max="1" width="10.140625" bestFit="1" customWidth="1"/>
    <col min="2" max="2" width="15.28515625" style="5" bestFit="1" customWidth="1"/>
    <col min="3" max="3" width="19.42578125" style="5" bestFit="1" customWidth="1"/>
    <col min="4" max="4" width="17.42578125" style="4" bestFit="1" customWidth="1"/>
    <col min="5" max="5" width="18" style="4" bestFit="1" customWidth="1"/>
    <col min="6" max="6" width="30.28515625" style="4" bestFit="1" customWidth="1"/>
    <col min="7" max="7" width="34.140625" style="4" bestFit="1" customWidth="1"/>
    <col min="8" max="8" width="29" style="7" bestFit="1" customWidth="1"/>
    <col min="9" max="9" width="32.85546875" style="7" bestFit="1" customWidth="1"/>
    <col min="10" max="10" width="15.85546875" style="7" bestFit="1" customWidth="1"/>
    <col min="11" max="11" width="23.42578125" style="16" bestFit="1" customWidth="1"/>
    <col min="12" max="12" width="15.28515625" bestFit="1" customWidth="1"/>
    <col min="13" max="13" width="20.42578125" bestFit="1" customWidth="1"/>
    <col min="14" max="14" width="11.5703125" bestFit="1" customWidth="1"/>
    <col min="15" max="15" width="25" style="7" bestFit="1" customWidth="1"/>
    <col min="16" max="16" width="24.5703125" style="7" bestFit="1" customWidth="1"/>
  </cols>
  <sheetData>
    <row r="1" spans="1:16" x14ac:dyDescent="0.25">
      <c r="A1" s="18" t="s">
        <v>47</v>
      </c>
      <c r="B1" s="18"/>
      <c r="C1" s="18"/>
      <c r="D1" s="18"/>
      <c r="E1" s="11" t="s">
        <v>3</v>
      </c>
      <c r="F1" s="11"/>
    </row>
    <row r="2" spans="1:16" x14ac:dyDescent="0.25">
      <c r="A2" s="18"/>
      <c r="B2" s="18"/>
      <c r="C2" s="18"/>
      <c r="D2" s="18"/>
      <c r="E2" s="11"/>
      <c r="F2" s="11"/>
    </row>
    <row r="3" spans="1:16" ht="15.75" thickBot="1" x14ac:dyDescent="0.3"/>
    <row r="4" spans="1:16" ht="19.5" thickBot="1" x14ac:dyDescent="0.35">
      <c r="A4" s="19" t="s">
        <v>0</v>
      </c>
      <c r="B4" s="20" t="s">
        <v>33</v>
      </c>
      <c r="C4" s="20" t="s">
        <v>34</v>
      </c>
      <c r="D4" s="21" t="s">
        <v>35</v>
      </c>
      <c r="E4" s="21" t="s">
        <v>36</v>
      </c>
      <c r="F4" s="21" t="s">
        <v>37</v>
      </c>
      <c r="G4" s="21" t="s">
        <v>38</v>
      </c>
      <c r="H4" s="22" t="s">
        <v>39</v>
      </c>
      <c r="I4" s="22" t="s">
        <v>40</v>
      </c>
      <c r="J4" s="22" t="s">
        <v>41</v>
      </c>
      <c r="K4" s="23" t="s">
        <v>42</v>
      </c>
      <c r="L4" s="19" t="s">
        <v>43</v>
      </c>
      <c r="M4" s="19" t="s">
        <v>44</v>
      </c>
      <c r="N4" s="19" t="s">
        <v>7</v>
      </c>
      <c r="O4" s="22" t="s">
        <v>45</v>
      </c>
      <c r="P4" s="22" t="s">
        <v>46</v>
      </c>
    </row>
    <row r="5" spans="1:16" x14ac:dyDescent="0.25">
      <c r="A5" s="24" t="str">
        <f>IF(B5&lt;&gt;"",$E$1,"")</f>
        <v>Paris</v>
      </c>
      <c r="B5" s="25">
        <f t="array" ref="B5">IFERROR(INDEX(Query1!B:B,SMALL(IF($E$1=Query1!$A:$A,ROW(Query1!B:B)-ROW(Query1!B$1)+1),ROW(1:1))),"")</f>
        <v>44547</v>
      </c>
      <c r="C5" s="25">
        <f t="array" ref="C5">IFERROR(INDEX(Query1!C:C,SMALL(IF($E$1=Query1!$A:$A,ROW(Query1!C:C)-ROW(Query1!C$1)+1),ROW(1:1))),"")</f>
        <v>44549</v>
      </c>
      <c r="D5" s="26">
        <f t="array" ref="D5">IFERROR(INDEX(Query1!D:D,SMALL(IF($E$1=Query1!$A:$A,ROW(Query1!D:D)-ROW(Query1!D$1)+1),ROW(1:1))),"")</f>
        <v>0.67013888888888884</v>
      </c>
      <c r="E5" s="26">
        <f t="array" ref="E5">IFERROR(INDEX(Query1!E:E,SMALL(IF($E$1=Query1!$A:$A,ROW(Query1!E:E)-ROW(Query1!E$1)+1),ROW(1:1))),"")</f>
        <v>0.90277777777777779</v>
      </c>
      <c r="F5" s="26">
        <f t="array" ref="F5">IFERROR(INDEX(Query1!F:F,SMALL(IF($E$1=Query1!$A:$A,ROW(Query1!F:F)-ROW(Query1!F$1)+1),ROW(1:1))),"")</f>
        <v>7.2916666666666671E-2</v>
      </c>
      <c r="G5" s="26">
        <f t="array" ref="G5">IFERROR(INDEX(Query1!G:G,SMALL(IF($E$1=Query1!$A:$A,ROW(Query1!G:G)-ROW(Query1!G$1)+1),ROW(1:1))),"")</f>
        <v>7.2916666666666671E-2</v>
      </c>
      <c r="H5" s="27">
        <f t="array" ref="H5">IFERROR(INDEX(Query1!H:H,SMALL(IF($E$1=Query1!$A:$A,ROW(Query1!H:H)-ROW(Query1!H$1)+1),ROW(1:1))),"")</f>
        <v>28</v>
      </c>
      <c r="I5" s="27">
        <f t="array" ref="I5">IFERROR(INDEX(Query1!I:I,SMALL(IF($E$1=Query1!$A:$A,ROW(Query1!I:I)-ROW(Query1!I$1)+1),ROW(1:1))),"")</f>
        <v>32</v>
      </c>
      <c r="J5" s="27">
        <f t="array" ref="J5">IFERROR(INDEX(Query1!J:J,SMALL(IF($E$1=Query1!$A:$A,ROW(Query1!J:J)-ROW(Query1!J$1)+1),ROW(1:1))),"")</f>
        <v>60</v>
      </c>
      <c r="K5" s="28">
        <f t="array" ref="K5">IFERROR(INDEX(Query1!K:K,SMALL(IF($E$1=Query1!$A:$A,ROW(Query1!K:K)-ROW(Query1!K$1)+1),ROW(1:1))),"")</f>
        <v>2.0868055555620231</v>
      </c>
      <c r="L5" s="29" t="str">
        <f t="array" ref="L5">IFERROR(INDEX(Query1!L:L,SMALL(IF($E$1=Query1!$A:$A,ROW(Query1!L:L)-ROW(Query1!L$1)+1),ROW(1:1))),"")</f>
        <v>Casita 1</v>
      </c>
      <c r="M5" s="29" t="str">
        <f t="array" ref="M5">IFERROR(INDEX(Query1!M:M,SMALL(IF($E$1=Query1!$A:$A,ROW(Query1!M:M)-ROW(Query1!M$1)+1),ROW(1:1))),"")</f>
        <v>url1</v>
      </c>
      <c r="N5" s="29">
        <f t="array" ref="N5">IFERROR(INDEX(Query1!N:N,SMALL(IF($E$1=Query1!$A:$A,ROW(Query1!N:N)-ROW(Query1!N$1)+1),ROW(1:1))),"")</f>
        <v>4</v>
      </c>
      <c r="O5" s="27">
        <f t="array" ref="O5">IFERROR(INDEX(Query1!O:O,SMALL(IF($E$1=Query1!$A:$A,ROW(Query1!O:O)-ROW(Query1!O$1)+1),ROW(1:1))),"")</f>
        <v>100</v>
      </c>
      <c r="P5" s="27">
        <f t="array" ref="P5">IFERROR(INDEX(Query1!P:P,SMALL(IF($E$1=Query1!$A:$A,ROW(Query1!P:P)-ROW(Query1!P$1)+1),ROW(1:1))),"")</f>
        <v>25</v>
      </c>
    </row>
    <row r="6" spans="1:16" x14ac:dyDescent="0.25">
      <c r="A6" s="30" t="str">
        <f t="shared" ref="A6:A41" si="0">IF(B6&lt;&gt;"",$E$1,"")</f>
        <v>Paris</v>
      </c>
      <c r="B6" s="31">
        <f t="array" ref="B6">IFERROR(INDEX(Query1!B:B,SMALL(IF($E$1=Query1!$A:$A,ROW(Query1!B:B)-ROW(Query1!B$1)+1),ROW(2:2))),"")</f>
        <v>44547</v>
      </c>
      <c r="C6" s="31">
        <f t="array" ref="C6">IFERROR(INDEX(Query1!C:C,SMALL(IF($E$1=Query1!$A:$A,ROW(Query1!C:C)-ROW(Query1!C$1)+1),ROW(2:2))),"")</f>
        <v>44549</v>
      </c>
      <c r="D6" s="32">
        <f t="array" ref="D6">IFERROR(INDEX(Query1!D:D,SMALL(IF($E$1=Query1!$A:$A,ROW(Query1!D:D)-ROW(Query1!D$1)+1),ROW(2:2))),"")</f>
        <v>0.67013888888888884</v>
      </c>
      <c r="E6" s="32">
        <f t="array" ref="E6">IFERROR(INDEX(Query1!E:E,SMALL(IF($E$1=Query1!$A:$A,ROW(Query1!E:E)-ROW(Query1!E$1)+1),ROW(2:2))),"")</f>
        <v>0.90277777777777779</v>
      </c>
      <c r="F6" s="32">
        <f t="array" ref="F6">IFERROR(INDEX(Query1!F:F,SMALL(IF($E$1=Query1!$A:$A,ROW(Query1!F:F)-ROW(Query1!F$1)+1),ROW(2:2))),"")</f>
        <v>7.2916666666666671E-2</v>
      </c>
      <c r="G6" s="32">
        <f t="array" ref="G6">IFERROR(INDEX(Query1!G:G,SMALL(IF($E$1=Query1!$A:$A,ROW(Query1!G:G)-ROW(Query1!G$1)+1),ROW(2:2))),"")</f>
        <v>7.2916666666666671E-2</v>
      </c>
      <c r="H6" s="33">
        <f t="array" ref="H6">IFERROR(INDEX(Query1!H:H,SMALL(IF($E$1=Query1!$A:$A,ROW(Query1!H:H)-ROW(Query1!H$1)+1),ROW(2:2))),"")</f>
        <v>28</v>
      </c>
      <c r="I6" s="33">
        <f t="array" ref="I6">IFERROR(INDEX(Query1!I:I,SMALL(IF($E$1=Query1!$A:$A,ROW(Query1!I:I)-ROW(Query1!I$1)+1),ROW(2:2))),"")</f>
        <v>32</v>
      </c>
      <c r="J6" s="33">
        <f t="array" ref="J6">IFERROR(INDEX(Query1!J:J,SMALL(IF($E$1=Query1!$A:$A,ROW(Query1!J:J)-ROW(Query1!J$1)+1),ROW(2:2))),"")</f>
        <v>60</v>
      </c>
      <c r="K6" s="34">
        <f t="array" ref="K6">IFERROR(INDEX(Query1!K:K,SMALL(IF($E$1=Query1!$A:$A,ROW(Query1!K:K)-ROW(Query1!K$1)+1),ROW(2:2))),"")</f>
        <v>2.0868055555620231</v>
      </c>
      <c r="L6" s="35" t="str">
        <f t="array" ref="L6">IFERROR(INDEX(Query1!L:L,SMALL(IF($E$1=Query1!$A:$A,ROW(Query1!L:L)-ROW(Query1!L$1)+1),ROW(2:2))),"")</f>
        <v>Hotel 1</v>
      </c>
      <c r="M6" s="35" t="str">
        <f t="array" ref="M6">IFERROR(INDEX(Query1!M:M,SMALL(IF($E$1=Query1!$A:$A,ROW(Query1!M:M)-ROW(Query1!M$1)+1),ROW(2:2))),"")</f>
        <v>url2</v>
      </c>
      <c r="N6" s="35">
        <f t="array" ref="N6">IFERROR(INDEX(Query1!N:N,SMALL(IF($E$1=Query1!$A:$A,ROW(Query1!N:N)-ROW(Query1!N$1)+1),ROW(2:2))),"")</f>
        <v>5</v>
      </c>
      <c r="O6" s="33">
        <f t="array" ref="O6">IFERROR(INDEX(Query1!O:O,SMALL(IF($E$1=Query1!$A:$A,ROW(Query1!O:O)-ROW(Query1!O$1)+1),ROW(2:2))),"")</f>
        <v>200</v>
      </c>
      <c r="P6" s="33">
        <f t="array" ref="P6">IFERROR(INDEX(Query1!P:P,SMALL(IF($E$1=Query1!$A:$A,ROW(Query1!P:P)-ROW(Query1!P$1)+1),ROW(2:2))),"")</f>
        <v>40</v>
      </c>
    </row>
    <row r="7" spans="1:16" x14ac:dyDescent="0.25">
      <c r="A7" s="30" t="str">
        <f t="shared" si="0"/>
        <v>Paris</v>
      </c>
      <c r="B7" s="31">
        <f t="array" ref="B7">IFERROR(INDEX(Query1!B:B,SMALL(IF($E$1=Query1!$A:$A,ROW(Query1!B:B)-ROW(Query1!B$1)+1),ROW(3:3))),"")</f>
        <v>44547</v>
      </c>
      <c r="C7" s="31">
        <f t="array" ref="C7">IFERROR(INDEX(Query1!C:C,SMALL(IF($E$1=Query1!$A:$A,ROW(Query1!C:C)-ROW(Query1!C$1)+1),ROW(3:3))),"")</f>
        <v>44549</v>
      </c>
      <c r="D7" s="32">
        <f t="array" ref="D7">IFERROR(INDEX(Query1!D:D,SMALL(IF($E$1=Query1!$A:$A,ROW(Query1!D:D)-ROW(Query1!D$1)+1),ROW(3:3))),"")</f>
        <v>0.67013888888888884</v>
      </c>
      <c r="E7" s="32">
        <f t="array" ref="E7">IFERROR(INDEX(Query1!E:E,SMALL(IF($E$1=Query1!$A:$A,ROW(Query1!E:E)-ROW(Query1!E$1)+1),ROW(3:3))),"")</f>
        <v>0.90277777777777779</v>
      </c>
      <c r="F7" s="32">
        <f t="array" ref="F7">IFERROR(INDEX(Query1!F:F,SMALL(IF($E$1=Query1!$A:$A,ROW(Query1!F:F)-ROW(Query1!F$1)+1),ROW(3:3))),"")</f>
        <v>7.2916666666666671E-2</v>
      </c>
      <c r="G7" s="32">
        <f t="array" ref="G7">IFERROR(INDEX(Query1!G:G,SMALL(IF($E$1=Query1!$A:$A,ROW(Query1!G:G)-ROW(Query1!G$1)+1),ROW(3:3))),"")</f>
        <v>7.2916666666666671E-2</v>
      </c>
      <c r="H7" s="33">
        <f t="array" ref="H7">IFERROR(INDEX(Query1!H:H,SMALL(IF($E$1=Query1!$A:$A,ROW(Query1!H:H)-ROW(Query1!H$1)+1),ROW(3:3))),"")</f>
        <v>28</v>
      </c>
      <c r="I7" s="33">
        <f t="array" ref="I7">IFERROR(INDEX(Query1!I:I,SMALL(IF($E$1=Query1!$A:$A,ROW(Query1!I:I)-ROW(Query1!I$1)+1),ROW(3:3))),"")</f>
        <v>32</v>
      </c>
      <c r="J7" s="33">
        <f t="array" ref="J7">IFERROR(INDEX(Query1!J:J,SMALL(IF($E$1=Query1!$A:$A,ROW(Query1!J:J)-ROW(Query1!J$1)+1),ROW(3:3))),"")</f>
        <v>60</v>
      </c>
      <c r="K7" s="34">
        <f t="array" ref="K7">IFERROR(INDEX(Query1!K:K,SMALL(IF($E$1=Query1!$A:$A,ROW(Query1!K:K)-ROW(Query1!K$1)+1),ROW(3:3))),"")</f>
        <v>2.0868055555620231</v>
      </c>
      <c r="L7" s="35" t="str">
        <f t="array" ref="L7">IFERROR(INDEX(Query1!L:L,SMALL(IF($E$1=Query1!$A:$A,ROW(Query1!L:L)-ROW(Query1!L$1)+1),ROW(3:3))),"")</f>
        <v>Hotel 2</v>
      </c>
      <c r="M7" s="35" t="str">
        <f t="array" ref="M7">IFERROR(INDEX(Query1!M:M,SMALL(IF($E$1=Query1!$A:$A,ROW(Query1!M:M)-ROW(Query1!M$1)+1),ROW(3:3))),"")</f>
        <v>url3</v>
      </c>
      <c r="N7" s="35">
        <f t="array" ref="N7">IFERROR(INDEX(Query1!N:N,SMALL(IF($E$1=Query1!$A:$A,ROW(Query1!N:N)-ROW(Query1!N$1)+1),ROW(3:3))),"")</f>
        <v>7</v>
      </c>
      <c r="O7" s="33">
        <f t="array" ref="O7">IFERROR(INDEX(Query1!O:O,SMALL(IF($E$1=Query1!$A:$A,ROW(Query1!O:O)-ROW(Query1!O$1)+1),ROW(3:3))),"")</f>
        <v>350</v>
      </c>
      <c r="P7" s="33">
        <f t="array" ref="P7">IFERROR(INDEX(Query1!P:P,SMALL(IF($E$1=Query1!$A:$A,ROW(Query1!P:P)-ROW(Query1!P$1)+1),ROW(3:3))),"")</f>
        <v>50</v>
      </c>
    </row>
    <row r="8" spans="1:16" x14ac:dyDescent="0.25">
      <c r="A8" s="30" t="str">
        <f t="shared" si="0"/>
        <v/>
      </c>
      <c r="B8" s="31" t="str">
        <f t="array" ref="B8">IFERROR(INDEX(Query1!B:B,SMALL(IF($E$1=Query1!$A:$A,ROW(Query1!B:B)-ROW(Query1!B$1)+1),ROW(4:4))),"")</f>
        <v/>
      </c>
      <c r="C8" s="31" t="str">
        <f t="array" ref="C8">IFERROR(INDEX(Query1!C:C,SMALL(IF($E$1=Query1!$A:$A,ROW(Query1!C:C)-ROW(Query1!C$1)+1),ROW(4:4))),"")</f>
        <v/>
      </c>
      <c r="D8" s="32" t="str">
        <f t="array" ref="D8">IFERROR(INDEX(Query1!D:D,SMALL(IF($E$1=Query1!$A:$A,ROW(Query1!D:D)-ROW(Query1!D$1)+1),ROW(4:4))),"")</f>
        <v/>
      </c>
      <c r="E8" s="32" t="str">
        <f t="array" ref="E8">IFERROR(INDEX(Query1!E:E,SMALL(IF($E$1=Query1!$A:$A,ROW(Query1!E:E)-ROW(Query1!E$1)+1),ROW(4:4))),"")</f>
        <v/>
      </c>
      <c r="F8" s="32" t="str">
        <f t="array" ref="F8">IFERROR(INDEX(Query1!F:F,SMALL(IF($E$1=Query1!$A:$A,ROW(Query1!F:F)-ROW(Query1!F$1)+1),ROW(4:4))),"")</f>
        <v/>
      </c>
      <c r="G8" s="32" t="str">
        <f t="array" ref="G8">IFERROR(INDEX(Query1!G:G,SMALL(IF($E$1=Query1!$A:$A,ROW(Query1!G:G)-ROW(Query1!G$1)+1),ROW(4:4))),"")</f>
        <v/>
      </c>
      <c r="H8" s="33" t="str">
        <f t="array" ref="H8">IFERROR(INDEX(Query1!H:H,SMALL(IF($E$1=Query1!$A:$A,ROW(Query1!H:H)-ROW(Query1!H$1)+1),ROW(4:4))),"")</f>
        <v/>
      </c>
      <c r="I8" s="33" t="str">
        <f t="array" ref="I8">IFERROR(INDEX(Query1!I:I,SMALL(IF($E$1=Query1!$A:$A,ROW(Query1!I:I)-ROW(Query1!I$1)+1),ROW(4:4))),"")</f>
        <v/>
      </c>
      <c r="J8" s="33" t="str">
        <f t="array" ref="J8">IFERROR(INDEX(Query1!J:J,SMALL(IF($E$1=Query1!$A:$A,ROW(Query1!J:J)-ROW(Query1!J$1)+1),ROW(4:4))),"")</f>
        <v/>
      </c>
      <c r="K8" s="34" t="str">
        <f t="array" ref="K8">IFERROR(INDEX(Query1!K:K,SMALL(IF($E$1=Query1!$A:$A,ROW(Query1!K:K)-ROW(Query1!K$1)+1),ROW(4:4))),"")</f>
        <v/>
      </c>
      <c r="L8" s="35" t="str">
        <f t="array" ref="L8">IFERROR(INDEX(Query1!L:L,SMALL(IF($E$1=Query1!$A:$A,ROW(Query1!L:L)-ROW(Query1!L$1)+1),ROW(4:4))),"")</f>
        <v/>
      </c>
      <c r="M8" s="35" t="str">
        <f t="array" ref="M8">IFERROR(INDEX(Query1!M:M,SMALL(IF($E$1=Query1!$A:$A,ROW(Query1!M:M)-ROW(Query1!M$1)+1),ROW(4:4))),"")</f>
        <v/>
      </c>
      <c r="N8" s="35" t="str">
        <f t="array" ref="N8">IFERROR(INDEX(Query1!N:N,SMALL(IF($E$1=Query1!$A:$A,ROW(Query1!N:N)-ROW(Query1!N$1)+1),ROW(4:4))),"")</f>
        <v/>
      </c>
      <c r="O8" s="33" t="str">
        <f t="array" ref="O8">IFERROR(INDEX(Query1!O:O,SMALL(IF($E$1=Query1!$A:$A,ROW(Query1!O:O)-ROW(Query1!O$1)+1),ROW(4:4))),"")</f>
        <v/>
      </c>
      <c r="P8" s="33" t="str">
        <f t="array" ref="P8">IFERROR(INDEX(Query1!P:P,SMALL(IF($E$1=Query1!$A:$A,ROW(Query1!P:P)-ROW(Query1!P$1)+1),ROW(4:4))),"")</f>
        <v/>
      </c>
    </row>
    <row r="9" spans="1:16" x14ac:dyDescent="0.25">
      <c r="A9" s="30" t="str">
        <f t="shared" si="0"/>
        <v/>
      </c>
      <c r="B9" s="31" t="str">
        <f t="array" ref="B9">IFERROR(INDEX(Query1!B:B,SMALL(IF($E$1=Query1!$A:$A,ROW(Query1!B:B)-ROW(Query1!B$1)+1),ROW(5:5))),"")</f>
        <v/>
      </c>
      <c r="C9" s="31" t="str">
        <f t="array" ref="C9">IFERROR(INDEX(Query1!C:C,SMALL(IF($E$1=Query1!$A:$A,ROW(Query1!C:C)-ROW(Query1!C$1)+1),ROW(5:5))),"")</f>
        <v/>
      </c>
      <c r="D9" s="32" t="str">
        <f t="array" ref="D9">IFERROR(INDEX(Query1!D:D,SMALL(IF($E$1=Query1!$A:$A,ROW(Query1!D:D)-ROW(Query1!D$1)+1),ROW(5:5))),"")</f>
        <v/>
      </c>
      <c r="E9" s="32" t="str">
        <f t="array" ref="E9">IFERROR(INDEX(Query1!E:E,SMALL(IF($E$1=Query1!$A:$A,ROW(Query1!E:E)-ROW(Query1!E$1)+1),ROW(5:5))),"")</f>
        <v/>
      </c>
      <c r="F9" s="32" t="str">
        <f t="array" ref="F9">IFERROR(INDEX(Query1!F:F,SMALL(IF($E$1=Query1!$A:$A,ROW(Query1!F:F)-ROW(Query1!F$1)+1),ROW(5:5))),"")</f>
        <v/>
      </c>
      <c r="G9" s="32" t="str">
        <f t="array" ref="G9">IFERROR(INDEX(Query1!G:G,SMALL(IF($E$1=Query1!$A:$A,ROW(Query1!G:G)-ROW(Query1!G$1)+1),ROW(5:5))),"")</f>
        <v/>
      </c>
      <c r="H9" s="33" t="str">
        <f t="array" ref="H9">IFERROR(INDEX(Query1!H:H,SMALL(IF($E$1=Query1!$A:$A,ROW(Query1!H:H)-ROW(Query1!H$1)+1),ROW(5:5))),"")</f>
        <v/>
      </c>
      <c r="I9" s="33" t="str">
        <f t="array" ref="I9">IFERROR(INDEX(Query1!I:I,SMALL(IF($E$1=Query1!$A:$A,ROW(Query1!I:I)-ROW(Query1!I$1)+1),ROW(5:5))),"")</f>
        <v/>
      </c>
      <c r="J9" s="33" t="str">
        <f t="array" ref="J9">IFERROR(INDEX(Query1!J:J,SMALL(IF($E$1=Query1!$A:$A,ROW(Query1!J:J)-ROW(Query1!J$1)+1),ROW(5:5))),"")</f>
        <v/>
      </c>
      <c r="K9" s="34" t="str">
        <f t="array" ref="K9">IFERROR(INDEX(Query1!K:K,SMALL(IF($E$1=Query1!$A:$A,ROW(Query1!K:K)-ROW(Query1!K$1)+1),ROW(5:5))),"")</f>
        <v/>
      </c>
      <c r="L9" s="35" t="str">
        <f t="array" ref="L9">IFERROR(INDEX(Query1!L:L,SMALL(IF($E$1=Query1!$A:$A,ROW(Query1!L:L)-ROW(Query1!L$1)+1),ROW(5:5))),"")</f>
        <v/>
      </c>
      <c r="M9" s="35" t="str">
        <f t="array" ref="M9">IFERROR(INDEX(Query1!M:M,SMALL(IF($E$1=Query1!$A:$A,ROW(Query1!M:M)-ROW(Query1!M$1)+1),ROW(5:5))),"")</f>
        <v/>
      </c>
      <c r="N9" s="35" t="str">
        <f t="array" ref="N9">IFERROR(INDEX(Query1!N:N,SMALL(IF($E$1=Query1!$A:$A,ROW(Query1!N:N)-ROW(Query1!N$1)+1),ROW(5:5))),"")</f>
        <v/>
      </c>
      <c r="O9" s="33" t="str">
        <f t="array" ref="O9">IFERROR(INDEX(Query1!O:O,SMALL(IF($E$1=Query1!$A:$A,ROW(Query1!O:O)-ROW(Query1!O$1)+1),ROW(5:5))),"")</f>
        <v/>
      </c>
      <c r="P9" s="33" t="str">
        <f t="array" ref="P9">IFERROR(INDEX(Query1!P:P,SMALL(IF($E$1=Query1!$A:$A,ROW(Query1!P:P)-ROW(Query1!P$1)+1),ROW(5:5))),"")</f>
        <v/>
      </c>
    </row>
    <row r="10" spans="1:16" x14ac:dyDescent="0.25">
      <c r="A10" s="30" t="str">
        <f t="shared" si="0"/>
        <v/>
      </c>
      <c r="B10" s="31" t="str">
        <f t="array" ref="B10">IFERROR(INDEX(Query1!B:B,SMALL(IF($E$1=Query1!$A:$A,ROW(Query1!B:B)-ROW(Query1!B$1)+1),ROW(6:6))),"")</f>
        <v/>
      </c>
      <c r="C10" s="31" t="str">
        <f t="array" ref="C10">IFERROR(INDEX(Query1!C:C,SMALL(IF($E$1=Query1!$A:$A,ROW(Query1!C:C)-ROW(Query1!C$1)+1),ROW(6:6))),"")</f>
        <v/>
      </c>
      <c r="D10" s="32" t="str">
        <f t="array" ref="D10">IFERROR(INDEX(Query1!D:D,SMALL(IF($E$1=Query1!$A:$A,ROW(Query1!D:D)-ROW(Query1!D$1)+1),ROW(6:6))),"")</f>
        <v/>
      </c>
      <c r="E10" s="32" t="str">
        <f t="array" ref="E10">IFERROR(INDEX(Query1!E:E,SMALL(IF($E$1=Query1!$A:$A,ROW(Query1!E:E)-ROW(Query1!E$1)+1),ROW(6:6))),"")</f>
        <v/>
      </c>
      <c r="F10" s="32" t="str">
        <f t="array" ref="F10">IFERROR(INDEX(Query1!F:F,SMALL(IF($E$1=Query1!$A:$A,ROW(Query1!F:F)-ROW(Query1!F$1)+1),ROW(6:6))),"")</f>
        <v/>
      </c>
      <c r="G10" s="32" t="str">
        <f t="array" ref="G10">IFERROR(INDEX(Query1!G:G,SMALL(IF($E$1=Query1!$A:$A,ROW(Query1!G:G)-ROW(Query1!G$1)+1),ROW(6:6))),"")</f>
        <v/>
      </c>
      <c r="H10" s="33" t="str">
        <f t="array" ref="H10">IFERROR(INDEX(Query1!H:H,SMALL(IF($E$1=Query1!$A:$A,ROW(Query1!H:H)-ROW(Query1!H$1)+1),ROW(6:6))),"")</f>
        <v/>
      </c>
      <c r="I10" s="33" t="str">
        <f t="array" ref="I10">IFERROR(INDEX(Query1!I:I,SMALL(IF($E$1=Query1!$A:$A,ROW(Query1!I:I)-ROW(Query1!I$1)+1),ROW(6:6))),"")</f>
        <v/>
      </c>
      <c r="J10" s="33" t="str">
        <f t="array" ref="J10">IFERROR(INDEX(Query1!J:J,SMALL(IF($E$1=Query1!$A:$A,ROW(Query1!J:J)-ROW(Query1!J$1)+1),ROW(6:6))),"")</f>
        <v/>
      </c>
      <c r="K10" s="34" t="str">
        <f t="array" ref="K10">IFERROR(INDEX(Query1!K:K,SMALL(IF($E$1=Query1!$A:$A,ROW(Query1!K:K)-ROW(Query1!K$1)+1),ROW(6:6))),"")</f>
        <v/>
      </c>
      <c r="L10" s="35" t="str">
        <f t="array" ref="L10">IFERROR(INDEX(Query1!L:L,SMALL(IF($E$1=Query1!$A:$A,ROW(Query1!L:L)-ROW(Query1!L$1)+1),ROW(6:6))),"")</f>
        <v/>
      </c>
      <c r="M10" s="35" t="str">
        <f t="array" ref="M10">IFERROR(INDEX(Query1!M:M,SMALL(IF($E$1=Query1!$A:$A,ROW(Query1!M:M)-ROW(Query1!M$1)+1),ROW(6:6))),"")</f>
        <v/>
      </c>
      <c r="N10" s="35" t="str">
        <f t="array" ref="N10">IFERROR(INDEX(Query1!N:N,SMALL(IF($E$1=Query1!$A:$A,ROW(Query1!N:N)-ROW(Query1!N$1)+1),ROW(6:6))),"")</f>
        <v/>
      </c>
      <c r="O10" s="33" t="str">
        <f t="array" ref="O10">IFERROR(INDEX(Query1!O:O,SMALL(IF($E$1=Query1!$A:$A,ROW(Query1!O:O)-ROW(Query1!O$1)+1),ROW(6:6))),"")</f>
        <v/>
      </c>
      <c r="P10" s="33" t="str">
        <f t="array" ref="P10">IFERROR(INDEX(Query1!P:P,SMALL(IF($E$1=Query1!$A:$A,ROW(Query1!P:P)-ROW(Query1!P$1)+1),ROW(6:6))),"")</f>
        <v/>
      </c>
    </row>
    <row r="11" spans="1:16" x14ac:dyDescent="0.25">
      <c r="A11" s="30" t="str">
        <f t="shared" si="0"/>
        <v/>
      </c>
      <c r="B11" s="31" t="str">
        <f t="array" ref="B11">IFERROR(INDEX(Query1!B:B,SMALL(IF($E$1=Query1!$A:$A,ROW(Query1!B:B)-ROW(Query1!B$1)+1),ROW(7:7))),"")</f>
        <v/>
      </c>
      <c r="C11" s="31" t="str">
        <f t="array" ref="C11">IFERROR(INDEX(Query1!C:C,SMALL(IF($E$1=Query1!$A:$A,ROW(Query1!C:C)-ROW(Query1!C$1)+1),ROW(7:7))),"")</f>
        <v/>
      </c>
      <c r="D11" s="32" t="str">
        <f t="array" ref="D11">IFERROR(INDEX(Query1!D:D,SMALL(IF($E$1=Query1!$A:$A,ROW(Query1!D:D)-ROW(Query1!D$1)+1),ROW(7:7))),"")</f>
        <v/>
      </c>
      <c r="E11" s="32" t="str">
        <f t="array" ref="E11">IFERROR(INDEX(Query1!E:E,SMALL(IF($E$1=Query1!$A:$A,ROW(Query1!E:E)-ROW(Query1!E$1)+1),ROW(7:7))),"")</f>
        <v/>
      </c>
      <c r="F11" s="32" t="str">
        <f t="array" ref="F11">IFERROR(INDEX(Query1!F:F,SMALL(IF($E$1=Query1!$A:$A,ROW(Query1!F:F)-ROW(Query1!F$1)+1),ROW(7:7))),"")</f>
        <v/>
      </c>
      <c r="G11" s="32" t="str">
        <f t="array" ref="G11">IFERROR(INDEX(Query1!G:G,SMALL(IF($E$1=Query1!$A:$A,ROW(Query1!G:G)-ROW(Query1!G$1)+1),ROW(7:7))),"")</f>
        <v/>
      </c>
      <c r="H11" s="33" t="str">
        <f t="array" ref="H11">IFERROR(INDEX(Query1!H:H,SMALL(IF($E$1=Query1!$A:$A,ROW(Query1!H:H)-ROW(Query1!H$1)+1),ROW(7:7))),"")</f>
        <v/>
      </c>
      <c r="I11" s="33" t="str">
        <f t="array" ref="I11">IFERROR(INDEX(Query1!I:I,SMALL(IF($E$1=Query1!$A:$A,ROW(Query1!I:I)-ROW(Query1!I$1)+1),ROW(7:7))),"")</f>
        <v/>
      </c>
      <c r="J11" s="33" t="str">
        <f t="array" ref="J11">IFERROR(INDEX(Query1!J:J,SMALL(IF($E$1=Query1!$A:$A,ROW(Query1!J:J)-ROW(Query1!J$1)+1),ROW(7:7))),"")</f>
        <v/>
      </c>
      <c r="K11" s="34" t="str">
        <f t="array" ref="K11">IFERROR(INDEX(Query1!K:K,SMALL(IF($E$1=Query1!$A:$A,ROW(Query1!K:K)-ROW(Query1!K$1)+1),ROW(7:7))),"")</f>
        <v/>
      </c>
      <c r="L11" s="35" t="str">
        <f t="array" ref="L11">IFERROR(INDEX(Query1!L:L,SMALL(IF($E$1=Query1!$A:$A,ROW(Query1!L:L)-ROW(Query1!L$1)+1),ROW(7:7))),"")</f>
        <v/>
      </c>
      <c r="M11" s="35" t="str">
        <f t="array" ref="M11">IFERROR(INDEX(Query1!M:M,SMALL(IF($E$1=Query1!$A:$A,ROW(Query1!M:M)-ROW(Query1!M$1)+1),ROW(7:7))),"")</f>
        <v/>
      </c>
      <c r="N11" s="35" t="str">
        <f t="array" ref="N11">IFERROR(INDEX(Query1!N:N,SMALL(IF($E$1=Query1!$A:$A,ROW(Query1!N:N)-ROW(Query1!N$1)+1),ROW(7:7))),"")</f>
        <v/>
      </c>
      <c r="O11" s="33" t="str">
        <f t="array" ref="O11">IFERROR(INDEX(Query1!O:O,SMALL(IF($E$1=Query1!$A:$A,ROW(Query1!O:O)-ROW(Query1!O$1)+1),ROW(7:7))),"")</f>
        <v/>
      </c>
      <c r="P11" s="33" t="str">
        <f t="array" ref="P11">IFERROR(INDEX(Query1!P:P,SMALL(IF($E$1=Query1!$A:$A,ROW(Query1!P:P)-ROW(Query1!P$1)+1),ROW(7:7))),"")</f>
        <v/>
      </c>
    </row>
    <row r="12" spans="1:16" x14ac:dyDescent="0.25">
      <c r="A12" s="30" t="str">
        <f t="shared" si="0"/>
        <v/>
      </c>
      <c r="B12" s="31" t="str">
        <f t="array" ref="B12">IFERROR(INDEX(Query1!B:B,SMALL(IF($E$1=Query1!$A:$A,ROW(Query1!B:B)-ROW(Query1!B$1)+1),ROW(8:8))),"")</f>
        <v/>
      </c>
      <c r="C12" s="31" t="str">
        <f t="array" ref="C12">IFERROR(INDEX(Query1!C:C,SMALL(IF($E$1=Query1!$A:$A,ROW(Query1!C:C)-ROW(Query1!C$1)+1),ROW(8:8))),"")</f>
        <v/>
      </c>
      <c r="D12" s="32" t="str">
        <f t="array" ref="D12">IFERROR(INDEX(Query1!D:D,SMALL(IF($E$1=Query1!$A:$A,ROW(Query1!D:D)-ROW(Query1!D$1)+1),ROW(8:8))),"")</f>
        <v/>
      </c>
      <c r="E12" s="32" t="str">
        <f t="array" ref="E12">IFERROR(INDEX(Query1!E:E,SMALL(IF($E$1=Query1!$A:$A,ROW(Query1!E:E)-ROW(Query1!E$1)+1),ROW(8:8))),"")</f>
        <v/>
      </c>
      <c r="F12" s="32" t="str">
        <f t="array" ref="F12">IFERROR(INDEX(Query1!F:F,SMALL(IF($E$1=Query1!$A:$A,ROW(Query1!F:F)-ROW(Query1!F$1)+1),ROW(8:8))),"")</f>
        <v/>
      </c>
      <c r="G12" s="32" t="str">
        <f t="array" ref="G12">IFERROR(INDEX(Query1!G:G,SMALL(IF($E$1=Query1!$A:$A,ROW(Query1!G:G)-ROW(Query1!G$1)+1),ROW(8:8))),"")</f>
        <v/>
      </c>
      <c r="H12" s="33" t="str">
        <f t="array" ref="H12">IFERROR(INDEX(Query1!H:H,SMALL(IF($E$1=Query1!$A:$A,ROW(Query1!H:H)-ROW(Query1!H$1)+1),ROW(8:8))),"")</f>
        <v/>
      </c>
      <c r="I12" s="33" t="str">
        <f t="array" ref="I12">IFERROR(INDEX(Query1!I:I,SMALL(IF($E$1=Query1!$A:$A,ROW(Query1!I:I)-ROW(Query1!I$1)+1),ROW(8:8))),"")</f>
        <v/>
      </c>
      <c r="J12" s="33" t="str">
        <f t="array" ref="J12">IFERROR(INDEX(Query1!J:J,SMALL(IF($E$1=Query1!$A:$A,ROW(Query1!J:J)-ROW(Query1!J$1)+1),ROW(8:8))),"")</f>
        <v/>
      </c>
      <c r="K12" s="34" t="str">
        <f t="array" ref="K12">IFERROR(INDEX(Query1!K:K,SMALL(IF($E$1=Query1!$A:$A,ROW(Query1!K:K)-ROW(Query1!K$1)+1),ROW(8:8))),"")</f>
        <v/>
      </c>
      <c r="L12" s="35" t="str">
        <f t="array" ref="L12">IFERROR(INDEX(Query1!L:L,SMALL(IF($E$1=Query1!$A:$A,ROW(Query1!L:L)-ROW(Query1!L$1)+1),ROW(8:8))),"")</f>
        <v/>
      </c>
      <c r="M12" s="35" t="str">
        <f t="array" ref="M12">IFERROR(INDEX(Query1!M:M,SMALL(IF($E$1=Query1!$A:$A,ROW(Query1!M:M)-ROW(Query1!M$1)+1),ROW(8:8))),"")</f>
        <v/>
      </c>
      <c r="N12" s="35" t="str">
        <f t="array" ref="N12">IFERROR(INDEX(Query1!N:N,SMALL(IF($E$1=Query1!$A:$A,ROW(Query1!N:N)-ROW(Query1!N$1)+1),ROW(8:8))),"")</f>
        <v/>
      </c>
      <c r="O12" s="33" t="str">
        <f t="array" ref="O12">IFERROR(INDEX(Query1!O:O,SMALL(IF($E$1=Query1!$A:$A,ROW(Query1!O:O)-ROW(Query1!O$1)+1),ROW(8:8))),"")</f>
        <v/>
      </c>
      <c r="P12" s="33" t="str">
        <f t="array" ref="P12">IFERROR(INDEX(Query1!P:P,SMALL(IF($E$1=Query1!$A:$A,ROW(Query1!P:P)-ROW(Query1!P$1)+1),ROW(8:8))),"")</f>
        <v/>
      </c>
    </row>
    <row r="13" spans="1:16" x14ac:dyDescent="0.25">
      <c r="A13" s="30" t="str">
        <f t="shared" si="0"/>
        <v/>
      </c>
      <c r="B13" s="31" t="str">
        <f t="array" ref="B13">IFERROR(INDEX(Query1!B:B,SMALL(IF($E$1=Query1!$A:$A,ROW(Query1!B:B)-ROW(Query1!B$1)+1),ROW(9:9))),"")</f>
        <v/>
      </c>
      <c r="C13" s="31" t="str">
        <f t="array" ref="C13">IFERROR(INDEX(Query1!C:C,SMALL(IF($E$1=Query1!$A:$A,ROW(Query1!C:C)-ROW(Query1!C$1)+1),ROW(9:9))),"")</f>
        <v/>
      </c>
      <c r="D13" s="32" t="str">
        <f t="array" ref="D13">IFERROR(INDEX(Query1!D:D,SMALL(IF($E$1=Query1!$A:$A,ROW(Query1!D:D)-ROW(Query1!D$1)+1),ROW(9:9))),"")</f>
        <v/>
      </c>
      <c r="E13" s="32" t="str">
        <f t="array" ref="E13">IFERROR(INDEX(Query1!E:E,SMALL(IF($E$1=Query1!$A:$A,ROW(Query1!E:E)-ROW(Query1!E$1)+1),ROW(9:9))),"")</f>
        <v/>
      </c>
      <c r="F13" s="32" t="str">
        <f t="array" ref="F13">IFERROR(INDEX(Query1!F:F,SMALL(IF($E$1=Query1!$A:$A,ROW(Query1!F:F)-ROW(Query1!F$1)+1),ROW(9:9))),"")</f>
        <v/>
      </c>
      <c r="G13" s="32" t="str">
        <f t="array" ref="G13">IFERROR(INDEX(Query1!G:G,SMALL(IF($E$1=Query1!$A:$A,ROW(Query1!G:G)-ROW(Query1!G$1)+1),ROW(9:9))),"")</f>
        <v/>
      </c>
      <c r="H13" s="33" t="str">
        <f t="array" ref="H13">IFERROR(INDEX(Query1!H:H,SMALL(IF($E$1=Query1!$A:$A,ROW(Query1!H:H)-ROW(Query1!H$1)+1),ROW(9:9))),"")</f>
        <v/>
      </c>
      <c r="I13" s="33" t="str">
        <f t="array" ref="I13">IFERROR(INDEX(Query1!I:I,SMALL(IF($E$1=Query1!$A:$A,ROW(Query1!I:I)-ROW(Query1!I$1)+1),ROW(9:9))),"")</f>
        <v/>
      </c>
      <c r="J13" s="33" t="str">
        <f t="array" ref="J13">IFERROR(INDEX(Query1!J:J,SMALL(IF($E$1=Query1!$A:$A,ROW(Query1!J:J)-ROW(Query1!J$1)+1),ROW(9:9))),"")</f>
        <v/>
      </c>
      <c r="K13" s="34" t="str">
        <f t="array" ref="K13">IFERROR(INDEX(Query1!K:K,SMALL(IF($E$1=Query1!$A:$A,ROW(Query1!K:K)-ROW(Query1!K$1)+1),ROW(9:9))),"")</f>
        <v/>
      </c>
      <c r="L13" s="35" t="str">
        <f t="array" ref="L13">IFERROR(INDEX(Query1!L:L,SMALL(IF($E$1=Query1!$A:$A,ROW(Query1!L:L)-ROW(Query1!L$1)+1),ROW(9:9))),"")</f>
        <v/>
      </c>
      <c r="M13" s="35" t="str">
        <f t="array" ref="M13">IFERROR(INDEX(Query1!M:M,SMALL(IF($E$1=Query1!$A:$A,ROW(Query1!M:M)-ROW(Query1!M$1)+1),ROW(9:9))),"")</f>
        <v/>
      </c>
      <c r="N13" s="35" t="str">
        <f t="array" ref="N13">IFERROR(INDEX(Query1!N:N,SMALL(IF($E$1=Query1!$A:$A,ROW(Query1!N:N)-ROW(Query1!N$1)+1),ROW(9:9))),"")</f>
        <v/>
      </c>
      <c r="O13" s="33" t="str">
        <f t="array" ref="O13">IFERROR(INDEX(Query1!O:O,SMALL(IF($E$1=Query1!$A:$A,ROW(Query1!O:O)-ROW(Query1!O$1)+1),ROW(9:9))),"")</f>
        <v/>
      </c>
      <c r="P13" s="33" t="str">
        <f t="array" ref="P13">IFERROR(INDEX(Query1!P:P,SMALL(IF($E$1=Query1!$A:$A,ROW(Query1!P:P)-ROW(Query1!P$1)+1),ROW(9:9))),"")</f>
        <v/>
      </c>
    </row>
    <row r="14" spans="1:16" x14ac:dyDescent="0.25">
      <c r="A14" s="30" t="str">
        <f t="shared" si="0"/>
        <v/>
      </c>
      <c r="B14" s="31" t="str">
        <f t="array" ref="B14">IFERROR(INDEX(Query1!B:B,SMALL(IF($E$1=Query1!$A:$A,ROW(Query1!B:B)-ROW(Query1!B$1)+1),ROW(10:10))),"")</f>
        <v/>
      </c>
      <c r="C14" s="31" t="str">
        <f t="array" ref="C14">IFERROR(INDEX(Query1!C:C,SMALL(IF($E$1=Query1!$A:$A,ROW(Query1!C:C)-ROW(Query1!C$1)+1),ROW(10:10))),"")</f>
        <v/>
      </c>
      <c r="D14" s="32" t="str">
        <f t="array" ref="D14">IFERROR(INDEX(Query1!D:D,SMALL(IF($E$1=Query1!$A:$A,ROW(Query1!D:D)-ROW(Query1!D$1)+1),ROW(10:10))),"")</f>
        <v/>
      </c>
      <c r="E14" s="32" t="str">
        <f t="array" ref="E14">IFERROR(INDEX(Query1!E:E,SMALL(IF($E$1=Query1!$A:$A,ROW(Query1!E:E)-ROW(Query1!E$1)+1),ROW(10:10))),"")</f>
        <v/>
      </c>
      <c r="F14" s="32" t="str">
        <f t="array" ref="F14">IFERROR(INDEX(Query1!F:F,SMALL(IF($E$1=Query1!$A:$A,ROW(Query1!F:F)-ROW(Query1!F$1)+1),ROW(10:10))),"")</f>
        <v/>
      </c>
      <c r="G14" s="32" t="str">
        <f t="array" ref="G14">IFERROR(INDEX(Query1!G:G,SMALL(IF($E$1=Query1!$A:$A,ROW(Query1!G:G)-ROW(Query1!G$1)+1),ROW(10:10))),"")</f>
        <v/>
      </c>
      <c r="H14" s="33" t="str">
        <f t="array" ref="H14">IFERROR(INDEX(Query1!H:H,SMALL(IF($E$1=Query1!$A:$A,ROW(Query1!H:H)-ROW(Query1!H$1)+1),ROW(10:10))),"")</f>
        <v/>
      </c>
      <c r="I14" s="33" t="str">
        <f t="array" ref="I14">IFERROR(INDEX(Query1!I:I,SMALL(IF($E$1=Query1!$A:$A,ROW(Query1!I:I)-ROW(Query1!I$1)+1),ROW(10:10))),"")</f>
        <v/>
      </c>
      <c r="J14" s="33" t="str">
        <f t="array" ref="J14">IFERROR(INDEX(Query1!J:J,SMALL(IF($E$1=Query1!$A:$A,ROW(Query1!J:J)-ROW(Query1!J$1)+1),ROW(10:10))),"")</f>
        <v/>
      </c>
      <c r="K14" s="34" t="str">
        <f t="array" ref="K14">IFERROR(INDEX(Query1!K:K,SMALL(IF($E$1=Query1!$A:$A,ROW(Query1!K:K)-ROW(Query1!K$1)+1),ROW(10:10))),"")</f>
        <v/>
      </c>
      <c r="L14" s="35" t="str">
        <f t="array" ref="L14">IFERROR(INDEX(Query1!L:L,SMALL(IF($E$1=Query1!$A:$A,ROW(Query1!L:L)-ROW(Query1!L$1)+1),ROW(10:10))),"")</f>
        <v/>
      </c>
      <c r="M14" s="35" t="str">
        <f t="array" ref="M14">IFERROR(INDEX(Query1!M:M,SMALL(IF($E$1=Query1!$A:$A,ROW(Query1!M:M)-ROW(Query1!M$1)+1),ROW(10:10))),"")</f>
        <v/>
      </c>
      <c r="N14" s="35" t="str">
        <f t="array" ref="N14">IFERROR(INDEX(Query1!N:N,SMALL(IF($E$1=Query1!$A:$A,ROW(Query1!N:N)-ROW(Query1!N$1)+1),ROW(10:10))),"")</f>
        <v/>
      </c>
      <c r="O14" s="33" t="str">
        <f t="array" ref="O14">IFERROR(INDEX(Query1!O:O,SMALL(IF($E$1=Query1!$A:$A,ROW(Query1!O:O)-ROW(Query1!O$1)+1),ROW(10:10))),"")</f>
        <v/>
      </c>
      <c r="P14" s="33" t="str">
        <f t="array" ref="P14">IFERROR(INDEX(Query1!P:P,SMALL(IF($E$1=Query1!$A:$A,ROW(Query1!P:P)-ROW(Query1!P$1)+1),ROW(10:10))),"")</f>
        <v/>
      </c>
    </row>
    <row r="15" spans="1:16" ht="15.75" thickBot="1" x14ac:dyDescent="0.3">
      <c r="A15" s="36" t="str">
        <f t="shared" si="0"/>
        <v/>
      </c>
      <c r="B15" s="37" t="str">
        <f t="array" ref="B15">IFERROR(INDEX(Query1!B:B,SMALL(IF($E$1=Query1!$A:$A,ROW(Query1!B:B)-ROW(Query1!B$1)+1),ROW(11:11))),"")</f>
        <v/>
      </c>
      <c r="C15" s="37" t="str">
        <f t="array" ref="C15">IFERROR(INDEX(Query1!C:C,SMALL(IF($E$1=Query1!$A:$A,ROW(Query1!C:C)-ROW(Query1!C$1)+1),ROW(11:11))),"")</f>
        <v/>
      </c>
      <c r="D15" s="38" t="str">
        <f t="array" ref="D15">IFERROR(INDEX(Query1!D:D,SMALL(IF($E$1=Query1!$A:$A,ROW(Query1!D:D)-ROW(Query1!D$1)+1),ROW(11:11))),"")</f>
        <v/>
      </c>
      <c r="E15" s="38" t="str">
        <f t="array" ref="E15">IFERROR(INDEX(Query1!E:E,SMALL(IF($E$1=Query1!$A:$A,ROW(Query1!E:E)-ROW(Query1!E$1)+1),ROW(11:11))),"")</f>
        <v/>
      </c>
      <c r="F15" s="38" t="str">
        <f t="array" ref="F15">IFERROR(INDEX(Query1!F:F,SMALL(IF($E$1=Query1!$A:$A,ROW(Query1!F:F)-ROW(Query1!F$1)+1),ROW(11:11))),"")</f>
        <v/>
      </c>
      <c r="G15" s="38" t="str">
        <f t="array" ref="G15">IFERROR(INDEX(Query1!G:G,SMALL(IF($E$1=Query1!$A:$A,ROW(Query1!G:G)-ROW(Query1!G$1)+1),ROW(11:11))),"")</f>
        <v/>
      </c>
      <c r="H15" s="39" t="str">
        <f t="array" ref="H15">IFERROR(INDEX(Query1!H:H,SMALL(IF($E$1=Query1!$A:$A,ROW(Query1!H:H)-ROW(Query1!H$1)+1),ROW(11:11))),"")</f>
        <v/>
      </c>
      <c r="I15" s="39" t="str">
        <f t="array" ref="I15">IFERROR(INDEX(Query1!I:I,SMALL(IF($E$1=Query1!$A:$A,ROW(Query1!I:I)-ROW(Query1!I$1)+1),ROW(11:11))),"")</f>
        <v/>
      </c>
      <c r="J15" s="39" t="str">
        <f t="array" ref="J15">IFERROR(INDEX(Query1!J:J,SMALL(IF($E$1=Query1!$A:$A,ROW(Query1!J:J)-ROW(Query1!J$1)+1),ROW(11:11))),"")</f>
        <v/>
      </c>
      <c r="K15" s="40" t="str">
        <f t="array" ref="K15">IFERROR(INDEX(Query1!K:K,SMALL(IF($E$1=Query1!$A:$A,ROW(Query1!K:K)-ROW(Query1!K$1)+1),ROW(11:11))),"")</f>
        <v/>
      </c>
      <c r="L15" s="41" t="str">
        <f t="array" ref="L15">IFERROR(INDEX(Query1!L:L,SMALL(IF($E$1=Query1!$A:$A,ROW(Query1!L:L)-ROW(Query1!L$1)+1),ROW(11:11))),"")</f>
        <v/>
      </c>
      <c r="M15" s="41" t="str">
        <f t="array" ref="M15">IFERROR(INDEX(Query1!M:M,SMALL(IF($E$1=Query1!$A:$A,ROW(Query1!M:M)-ROW(Query1!M$1)+1),ROW(11:11))),"")</f>
        <v/>
      </c>
      <c r="N15" s="41" t="str">
        <f t="array" ref="N15">IFERROR(INDEX(Query1!N:N,SMALL(IF($E$1=Query1!$A:$A,ROW(Query1!N:N)-ROW(Query1!N$1)+1),ROW(11:11))),"")</f>
        <v/>
      </c>
      <c r="O15" s="39" t="str">
        <f t="array" ref="O15">IFERROR(INDEX(Query1!O:O,SMALL(IF($E$1=Query1!$A:$A,ROW(Query1!O:O)-ROW(Query1!O$1)+1),ROW(11:11))),"")</f>
        <v/>
      </c>
      <c r="P15" s="39" t="str">
        <f t="array" ref="P15">IFERROR(INDEX(Query1!P:P,SMALL(IF($E$1=Query1!$A:$A,ROW(Query1!P:P)-ROW(Query1!P$1)+1),ROW(11:11))),"")</f>
        <v/>
      </c>
    </row>
    <row r="16" spans="1:16" x14ac:dyDescent="0.25">
      <c r="A16" s="12"/>
      <c r="B16" s="13"/>
      <c r="C16" s="13"/>
      <c r="D16" s="14"/>
      <c r="E16" s="14"/>
      <c r="F16" s="14"/>
      <c r="G16" s="14"/>
      <c r="H16" s="15"/>
      <c r="I16" s="15"/>
      <c r="J16" s="15"/>
      <c r="K16" s="17"/>
      <c r="L16" s="12"/>
      <c r="M16" s="12"/>
      <c r="N16" s="12"/>
      <c r="O16" s="15"/>
      <c r="P16" s="15"/>
    </row>
    <row r="17" spans="1:16" x14ac:dyDescent="0.25">
      <c r="A17" s="12"/>
      <c r="B17" s="13"/>
      <c r="C17" s="13"/>
      <c r="D17" s="14"/>
      <c r="E17" s="14"/>
      <c r="F17" s="14"/>
      <c r="G17" s="14"/>
      <c r="H17" s="15"/>
      <c r="I17" s="15"/>
      <c r="J17" s="15"/>
      <c r="K17" s="17"/>
      <c r="L17" s="12"/>
      <c r="M17" s="12"/>
      <c r="N17" s="12"/>
      <c r="O17" s="15"/>
      <c r="P17" s="15"/>
    </row>
    <row r="18" spans="1:16" x14ac:dyDescent="0.25">
      <c r="A18" s="12"/>
      <c r="B18" s="13"/>
      <c r="C18" s="13"/>
      <c r="D18" s="14"/>
      <c r="E18" s="14"/>
      <c r="F18" s="14"/>
      <c r="G18" s="14"/>
      <c r="H18" s="15"/>
      <c r="I18" s="15"/>
      <c r="J18" s="15"/>
      <c r="K18" s="17"/>
      <c r="L18" s="12"/>
      <c r="M18" s="12"/>
      <c r="N18" s="12"/>
      <c r="O18" s="15"/>
      <c r="P18" s="15"/>
    </row>
    <row r="19" spans="1:16" x14ac:dyDescent="0.25">
      <c r="A19" s="12"/>
      <c r="B19" s="13"/>
      <c r="C19" s="13"/>
      <c r="D19" s="14"/>
      <c r="E19" s="14"/>
      <c r="F19" s="14"/>
      <c r="G19" s="14"/>
      <c r="H19" s="15"/>
      <c r="I19" s="15"/>
      <c r="J19" s="15"/>
      <c r="K19" s="17"/>
      <c r="L19" s="12"/>
      <c r="M19" s="12"/>
      <c r="N19" s="12"/>
      <c r="O19" s="15"/>
      <c r="P19" s="15"/>
    </row>
    <row r="20" spans="1:16" x14ac:dyDescent="0.25">
      <c r="A20" s="12"/>
      <c r="B20" s="13"/>
      <c r="C20" s="13"/>
      <c r="D20" s="14"/>
      <c r="E20" s="14"/>
      <c r="F20" s="14"/>
      <c r="G20" s="14"/>
      <c r="H20" s="15"/>
      <c r="I20" s="15"/>
      <c r="J20" s="15"/>
      <c r="K20" s="17"/>
      <c r="L20" s="12"/>
      <c r="M20" s="12"/>
      <c r="N20" s="12"/>
      <c r="O20" s="15"/>
      <c r="P20" s="15"/>
    </row>
    <row r="21" spans="1:16" x14ac:dyDescent="0.25">
      <c r="A21" s="12"/>
      <c r="B21" s="13"/>
      <c r="C21" s="13"/>
      <c r="D21" s="14"/>
      <c r="E21" s="14"/>
      <c r="F21" s="14"/>
      <c r="G21" s="14"/>
      <c r="H21" s="15"/>
      <c r="I21" s="15"/>
      <c r="J21" s="15"/>
      <c r="K21" s="17"/>
      <c r="L21" s="12"/>
      <c r="M21" s="12"/>
      <c r="N21" s="12"/>
      <c r="O21" s="15"/>
      <c r="P21" s="15"/>
    </row>
    <row r="22" spans="1:16" x14ac:dyDescent="0.25">
      <c r="A22" s="12"/>
      <c r="B22" s="13"/>
      <c r="C22" s="13"/>
      <c r="D22" s="14"/>
      <c r="E22" s="14"/>
      <c r="F22" s="14"/>
      <c r="G22" s="14"/>
      <c r="H22" s="15"/>
      <c r="I22" s="15"/>
      <c r="J22" s="15"/>
      <c r="K22" s="17"/>
      <c r="L22" s="12"/>
      <c r="M22" s="12"/>
      <c r="N22" s="12"/>
      <c r="O22" s="15"/>
      <c r="P22" s="15"/>
    </row>
    <row r="23" spans="1:16" x14ac:dyDescent="0.25">
      <c r="A23" s="12"/>
      <c r="B23" s="13"/>
      <c r="C23" s="13"/>
      <c r="D23" s="14"/>
      <c r="E23" s="14"/>
      <c r="F23" s="14"/>
      <c r="G23" s="14"/>
      <c r="H23" s="15"/>
      <c r="I23" s="15"/>
      <c r="J23" s="15"/>
      <c r="K23" s="17"/>
      <c r="L23" s="12"/>
      <c r="M23" s="12"/>
      <c r="N23" s="12"/>
      <c r="O23" s="15"/>
      <c r="P23" s="15"/>
    </row>
    <row r="24" spans="1:16" x14ac:dyDescent="0.25">
      <c r="A24" s="12"/>
      <c r="B24" s="13"/>
      <c r="C24" s="13"/>
      <c r="D24" s="14"/>
      <c r="E24" s="14"/>
      <c r="F24" s="14"/>
      <c r="G24" s="14"/>
      <c r="H24" s="15"/>
      <c r="I24" s="15"/>
      <c r="J24" s="15"/>
      <c r="K24" s="17"/>
      <c r="L24" s="12"/>
      <c r="M24" s="12"/>
      <c r="N24" s="12"/>
      <c r="O24" s="15"/>
      <c r="P24" s="15"/>
    </row>
    <row r="25" spans="1:16" x14ac:dyDescent="0.25">
      <c r="A25" s="12"/>
      <c r="B25" s="13"/>
      <c r="C25" s="13"/>
      <c r="D25" s="14"/>
      <c r="E25" s="14"/>
      <c r="F25" s="14"/>
      <c r="G25" s="14"/>
      <c r="H25" s="15"/>
      <c r="I25" s="15"/>
      <c r="J25" s="15"/>
      <c r="K25" s="17"/>
      <c r="L25" s="12"/>
      <c r="M25" s="12"/>
      <c r="N25" s="12"/>
      <c r="O25" s="15"/>
      <c r="P25" s="15"/>
    </row>
    <row r="26" spans="1:16" x14ac:dyDescent="0.25">
      <c r="A26" s="12"/>
      <c r="B26" s="13"/>
      <c r="C26" s="13"/>
      <c r="D26" s="14"/>
      <c r="E26" s="14"/>
      <c r="F26" s="14"/>
      <c r="G26" s="14"/>
      <c r="H26" s="15"/>
      <c r="I26" s="15"/>
      <c r="J26" s="15"/>
      <c r="K26" s="17"/>
      <c r="L26" s="12"/>
      <c r="M26" s="12"/>
      <c r="N26" s="12"/>
      <c r="O26" s="15"/>
      <c r="P26" s="15"/>
    </row>
    <row r="27" spans="1:16" x14ac:dyDescent="0.25">
      <c r="A27" s="12"/>
      <c r="B27" s="13"/>
      <c r="C27" s="13"/>
      <c r="D27" s="14"/>
      <c r="E27" s="14"/>
      <c r="F27" s="14"/>
      <c r="G27" s="14"/>
      <c r="H27" s="15"/>
      <c r="I27" s="15"/>
      <c r="J27" s="15"/>
      <c r="K27" s="17"/>
      <c r="L27" s="12"/>
      <c r="M27" s="12"/>
      <c r="N27" s="12"/>
      <c r="O27" s="15"/>
      <c r="P27" s="15"/>
    </row>
    <row r="28" spans="1:16" x14ac:dyDescent="0.25">
      <c r="A28" s="12"/>
      <c r="B28" s="13"/>
      <c r="C28" s="13"/>
      <c r="D28" s="14"/>
      <c r="E28" s="14"/>
      <c r="F28" s="14"/>
      <c r="G28" s="14"/>
      <c r="H28" s="15"/>
      <c r="I28" s="15"/>
      <c r="J28" s="15"/>
      <c r="K28" s="17"/>
      <c r="L28" s="12"/>
      <c r="M28" s="12"/>
      <c r="N28" s="12"/>
      <c r="O28" s="15"/>
      <c r="P28" s="15"/>
    </row>
    <row r="29" spans="1:16" x14ac:dyDescent="0.25">
      <c r="A29" s="12"/>
      <c r="B29" s="13"/>
      <c r="C29" s="13"/>
      <c r="D29" s="14"/>
      <c r="E29" s="14"/>
      <c r="F29" s="14"/>
      <c r="G29" s="14"/>
      <c r="H29" s="15"/>
      <c r="I29" s="15"/>
      <c r="J29" s="15"/>
      <c r="K29" s="17"/>
      <c r="L29" s="12"/>
      <c r="M29" s="12"/>
      <c r="N29" s="12"/>
      <c r="O29" s="15"/>
      <c r="P29" s="15"/>
    </row>
    <row r="30" spans="1:16" x14ac:dyDescent="0.25">
      <c r="A30" s="12"/>
      <c r="B30" s="13"/>
      <c r="C30" s="13"/>
      <c r="D30" s="14"/>
      <c r="E30" s="14"/>
      <c r="F30" s="14"/>
      <c r="G30" s="14"/>
      <c r="H30" s="15"/>
      <c r="I30" s="15"/>
      <c r="J30" s="15"/>
      <c r="K30" s="17"/>
      <c r="L30" s="12"/>
      <c r="M30" s="12"/>
      <c r="N30" s="12"/>
      <c r="O30" s="15"/>
      <c r="P30" s="15"/>
    </row>
  </sheetData>
  <mergeCells count="2">
    <mergeCell ref="E1:F2"/>
    <mergeCell ref="A1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Actualizar">
                <anchor moveWithCells="1" sizeWithCells="1">
                  <from>
                    <xdr:col>6</xdr:col>
                    <xdr:colOff>476250</xdr:colOff>
                    <xdr:row>0</xdr:row>
                    <xdr:rowOff>9525</xdr:rowOff>
                  </from>
                  <to>
                    <xdr:col>6</xdr:col>
                    <xdr:colOff>2095500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F7F510-086B-4A64-9DE7-238453160E6B}">
          <x14:formula1>
            <xm:f>Aux!$A:$A</xm:f>
          </x14:formula1>
          <xm:sqref>E1:F2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3B355-045A-4E7B-BD32-63160A61A2C1}">
  <sheetPr codeName="Hoja2"/>
  <dimension ref="A1:K9"/>
  <sheetViews>
    <sheetView workbookViewId="0">
      <selection activeCell="D1" sqref="D1:G1048576"/>
    </sheetView>
  </sheetViews>
  <sheetFormatPr baseColWidth="10" defaultRowHeight="15" x14ac:dyDescent="0.25"/>
  <cols>
    <col min="2" max="2" width="12.28515625" customWidth="1"/>
    <col min="3" max="3" width="14.5703125" customWidth="1"/>
    <col min="4" max="4" width="11.5703125" style="3" customWidth="1"/>
    <col min="5" max="7" width="11.42578125" style="3"/>
    <col min="8" max="8" width="16.42578125" bestFit="1" customWidth="1"/>
    <col min="9" max="9" width="15.7109375" bestFit="1" customWidth="1"/>
    <col min="11" max="11" width="11.85546875" bestFit="1" customWidth="1"/>
  </cols>
  <sheetData>
    <row r="1" spans="1:11" x14ac:dyDescent="0.25">
      <c r="A1" t="s">
        <v>0</v>
      </c>
      <c r="B1" t="s">
        <v>32</v>
      </c>
      <c r="C1" t="s">
        <v>16</v>
      </c>
      <c r="D1" s="3" t="s">
        <v>17</v>
      </c>
      <c r="E1" s="3" t="s">
        <v>18</v>
      </c>
      <c r="F1" s="3" t="s">
        <v>28</v>
      </c>
      <c r="G1" s="3" t="s">
        <v>29</v>
      </c>
      <c r="H1" t="s">
        <v>19</v>
      </c>
      <c r="I1" t="s">
        <v>20</v>
      </c>
      <c r="J1" t="s">
        <v>2</v>
      </c>
      <c r="K1" t="s">
        <v>31</v>
      </c>
    </row>
    <row r="2" spans="1:11" x14ac:dyDescent="0.25">
      <c r="A2" t="s">
        <v>3</v>
      </c>
      <c r="B2" s="1">
        <v>44547</v>
      </c>
      <c r="C2" s="1">
        <v>44549</v>
      </c>
      <c r="D2" s="3">
        <v>0.67013888888888884</v>
      </c>
      <c r="E2" s="3">
        <v>0.90277777777777779</v>
      </c>
      <c r="F2" s="3">
        <v>7.2916666666666671E-2</v>
      </c>
      <c r="G2" s="3">
        <v>7.2916666666666671E-2</v>
      </c>
      <c r="H2" s="7">
        <v>28</v>
      </c>
      <c r="I2" s="7">
        <v>32</v>
      </c>
      <c r="J2" s="7">
        <v>60</v>
      </c>
      <c r="K2" s="8">
        <f>(DATEVALUE(TEXT(Tabla1[[#This Row],[Fecha_Vuelta]],"dd/mm/aaaa"))+TIMEVALUE(TEXT(Tabla1[[#This Row],[Vuelo_vuelta]],"hh:mm"))-TIMEVALUE(TEXT(Tabla1[[#This Row],[Tiempo_Vuelo_Vuelta]],"hh:mm")))-(DATEVALUE(TEXT(Tabla1[[#This Row],[Fecha_Ida]],"dd/mm/aaaa"))+TIMEVALUE(TEXT(Tabla1[[#This Row],[Vuelo_ida]],"hh:mm"))+TIMEVALUE(TEXT(Tabla1[[#This Row],[Tiempo_Vuelo_Ida]],"hh:mm")))</f>
        <v>2.0868055555620231</v>
      </c>
    </row>
    <row r="3" spans="1:11" x14ac:dyDescent="0.25">
      <c r="A3" t="s">
        <v>4</v>
      </c>
      <c r="B3" s="1">
        <v>44430</v>
      </c>
      <c r="C3" s="1">
        <v>44432</v>
      </c>
      <c r="D3" s="3">
        <v>0.82291666666666663</v>
      </c>
      <c r="E3" s="3">
        <v>0.83680555555555547</v>
      </c>
      <c r="F3" s="3">
        <v>5.2083333333333336E-2</v>
      </c>
      <c r="G3" s="3">
        <v>4.8611111111111112E-2</v>
      </c>
      <c r="H3" s="7">
        <v>31</v>
      </c>
      <c r="I3" s="7">
        <v>27.81</v>
      </c>
      <c r="J3" s="7">
        <v>58.81</v>
      </c>
      <c r="K3" s="8">
        <f>(DATEVALUE(TEXT(Tabla1[[#This Row],[Fecha_Vuelta]],"dd/mm/aaaa"))+TIMEVALUE(TEXT(Tabla1[[#This Row],[Vuelo_vuelta]],"hh:mm"))-TIMEVALUE(TEXT(Tabla1[[#This Row],[Tiempo_Vuelo_Vuelta]],"hh:mm")))-(DATEVALUE(TEXT(Tabla1[[#This Row],[Fecha_Ida]],"dd/mm/aaaa"))+TIMEVALUE(TEXT(Tabla1[[#This Row],[Vuelo_ida]],"hh:mm"))+TIMEVALUE(TEXT(Tabla1[[#This Row],[Tiempo_Vuelo_Ida]],"hh:mm")))</f>
        <v>1.9131944444452529</v>
      </c>
    </row>
    <row r="6" spans="1:11" x14ac:dyDescent="0.25">
      <c r="H6" s="2"/>
      <c r="I6" s="2"/>
    </row>
    <row r="8" spans="1:11" x14ac:dyDescent="0.25">
      <c r="H8" s="6"/>
    </row>
    <row r="9" spans="1:11" x14ac:dyDescent="0.25">
      <c r="H9" s="6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DA193-1AA2-4A9D-BB46-5C96EDAFCF0B}">
  <sheetPr codeName="Hoja3"/>
  <dimension ref="A1:H7"/>
  <sheetViews>
    <sheetView workbookViewId="0">
      <selection activeCell="D3" sqref="D3"/>
    </sheetView>
  </sheetViews>
  <sheetFormatPr baseColWidth="10" defaultRowHeight="15" x14ac:dyDescent="0.25"/>
  <cols>
    <col min="2" max="2" width="12.28515625" customWidth="1"/>
    <col min="3" max="3" width="14.5703125" customWidth="1"/>
  </cols>
  <sheetData>
    <row r="1" spans="1:8" x14ac:dyDescent="0.25">
      <c r="A1" t="s">
        <v>0</v>
      </c>
      <c r="B1" t="s">
        <v>32</v>
      </c>
      <c r="C1" t="s">
        <v>16</v>
      </c>
      <c r="D1" t="s">
        <v>5</v>
      </c>
      <c r="E1" t="s">
        <v>6</v>
      </c>
      <c r="F1" t="s">
        <v>7</v>
      </c>
      <c r="G1" t="s">
        <v>1</v>
      </c>
      <c r="H1" t="s">
        <v>30</v>
      </c>
    </row>
    <row r="2" spans="1:8" x14ac:dyDescent="0.25">
      <c r="A2" t="s">
        <v>3</v>
      </c>
      <c r="B2" s="1">
        <v>44547</v>
      </c>
      <c r="C2" s="1">
        <v>44549</v>
      </c>
      <c r="D2" t="s">
        <v>8</v>
      </c>
      <c r="E2" t="s">
        <v>9</v>
      </c>
      <c r="F2">
        <v>4</v>
      </c>
      <c r="G2">
        <v>100</v>
      </c>
      <c r="H2">
        <f>Tabla2[[#This Row],[Precio]]/Tabla2[[#This Row],[Personas]]</f>
        <v>25</v>
      </c>
    </row>
    <row r="3" spans="1:8" x14ac:dyDescent="0.25">
      <c r="A3" t="s">
        <v>3</v>
      </c>
      <c r="B3" s="1">
        <v>44547</v>
      </c>
      <c r="C3" s="1">
        <v>44549</v>
      </c>
      <c r="D3" t="s">
        <v>10</v>
      </c>
      <c r="E3" t="s">
        <v>11</v>
      </c>
      <c r="F3">
        <v>5</v>
      </c>
      <c r="G3">
        <v>200</v>
      </c>
      <c r="H3">
        <f>Tabla2[[#This Row],[Precio]]/Tabla2[[#This Row],[Personas]]</f>
        <v>40</v>
      </c>
    </row>
    <row r="4" spans="1:8" x14ac:dyDescent="0.25">
      <c r="A4" t="s">
        <v>3</v>
      </c>
      <c r="B4" s="1">
        <v>44547</v>
      </c>
      <c r="C4" s="1">
        <v>44549</v>
      </c>
      <c r="D4" t="s">
        <v>12</v>
      </c>
      <c r="E4" t="s">
        <v>13</v>
      </c>
      <c r="F4">
        <v>7</v>
      </c>
      <c r="G4">
        <v>350</v>
      </c>
      <c r="H4">
        <f>Tabla2[[#This Row],[Precio]]/Tabla2[[#This Row],[Personas]]</f>
        <v>50</v>
      </c>
    </row>
    <row r="5" spans="1:8" x14ac:dyDescent="0.25">
      <c r="A5" t="s">
        <v>4</v>
      </c>
      <c r="B5" s="1">
        <v>44430</v>
      </c>
      <c r="C5" s="1">
        <v>44432</v>
      </c>
      <c r="D5" t="s">
        <v>14</v>
      </c>
      <c r="E5" t="s">
        <v>15</v>
      </c>
      <c r="F5">
        <v>6</v>
      </c>
      <c r="G5">
        <v>450</v>
      </c>
      <c r="H5">
        <f>Tabla2[[#This Row],[Precio]]/Tabla2[[#This Row],[Personas]]</f>
        <v>75</v>
      </c>
    </row>
    <row r="6" spans="1:8" x14ac:dyDescent="0.25">
      <c r="B6" s="1"/>
      <c r="C6" s="1"/>
    </row>
    <row r="7" spans="1:8" x14ac:dyDescent="0.25">
      <c r="B7" s="1"/>
      <c r="C7" s="1"/>
      <c r="H7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AE4A8-41DC-43C1-8CE9-D3587A7F292D}">
  <sheetPr codeName="Hoja4"/>
  <dimension ref="A1:P9"/>
  <sheetViews>
    <sheetView workbookViewId="0">
      <selection activeCell="A2" sqref="A2:A5"/>
    </sheetView>
  </sheetViews>
  <sheetFormatPr baseColWidth="10" defaultRowHeight="15" x14ac:dyDescent="0.25"/>
  <cols>
    <col min="1" max="1" width="10.140625" bestFit="1" customWidth="1"/>
    <col min="2" max="2" width="12.140625" bestFit="1" customWidth="1"/>
    <col min="3" max="3" width="15.28515625" bestFit="1" customWidth="1"/>
    <col min="4" max="4" width="12.28515625" style="4" bestFit="1" customWidth="1"/>
    <col min="5" max="5" width="15.140625" style="4" bestFit="1" customWidth="1"/>
    <col min="6" max="6" width="20.140625" style="4" bestFit="1" customWidth="1"/>
    <col min="7" max="7" width="23.28515625" style="4" bestFit="1" customWidth="1"/>
    <col min="8" max="8" width="12.5703125" bestFit="1" customWidth="1"/>
    <col min="9" max="9" width="15.7109375" bestFit="1" customWidth="1"/>
    <col min="10" max="10" width="8.42578125" bestFit="1" customWidth="1"/>
    <col min="11" max="11" width="19.42578125" bestFit="1" customWidth="1"/>
    <col min="12" max="12" width="7.7109375" bestFit="1" customWidth="1"/>
    <col min="13" max="13" width="6.7109375" bestFit="1" customWidth="1"/>
    <col min="14" max="14" width="11.28515625" bestFit="1" customWidth="1"/>
    <col min="15" max="15" width="9.42578125" bestFit="1" customWidth="1"/>
    <col min="16" max="16" width="15.42578125" bestFit="1" customWidth="1"/>
    <col min="17" max="17" width="13.140625" bestFit="1" customWidth="1"/>
  </cols>
  <sheetData>
    <row r="1" spans="1:16" x14ac:dyDescent="0.25">
      <c r="A1" t="s">
        <v>0</v>
      </c>
      <c r="B1" t="s">
        <v>32</v>
      </c>
      <c r="C1" t="s">
        <v>16</v>
      </c>
      <c r="D1" s="4" t="s">
        <v>17</v>
      </c>
      <c r="E1" s="4" t="s">
        <v>18</v>
      </c>
      <c r="F1" s="4" t="s">
        <v>28</v>
      </c>
      <c r="G1" s="4" t="s">
        <v>29</v>
      </c>
      <c r="H1" t="s">
        <v>19</v>
      </c>
      <c r="I1" t="s">
        <v>20</v>
      </c>
      <c r="J1" t="s">
        <v>2</v>
      </c>
      <c r="K1" t="s">
        <v>31</v>
      </c>
      <c r="L1" t="s">
        <v>5</v>
      </c>
      <c r="M1" t="s">
        <v>6</v>
      </c>
      <c r="N1" t="s">
        <v>7</v>
      </c>
      <c r="O1" t="s">
        <v>1</v>
      </c>
      <c r="P1" t="s">
        <v>30</v>
      </c>
    </row>
    <row r="2" spans="1:16" x14ac:dyDescent="0.25">
      <c r="A2" t="s">
        <v>3</v>
      </c>
      <c r="B2" s="5">
        <v>44547</v>
      </c>
      <c r="C2" s="5">
        <v>44549</v>
      </c>
      <c r="D2" s="4">
        <v>0.67013888888888884</v>
      </c>
      <c r="E2" s="4">
        <v>0.90277777777777779</v>
      </c>
      <c r="F2" s="4">
        <v>7.2916666666666671E-2</v>
      </c>
      <c r="G2" s="4">
        <v>7.2916666666666671E-2</v>
      </c>
      <c r="H2" s="7">
        <v>28</v>
      </c>
      <c r="I2" s="7">
        <v>32</v>
      </c>
      <c r="J2" s="7">
        <v>60</v>
      </c>
      <c r="K2" s="9">
        <v>2.0868055555620231</v>
      </c>
      <c r="L2" s="2" t="s">
        <v>8</v>
      </c>
      <c r="M2" t="s">
        <v>9</v>
      </c>
      <c r="N2" s="10">
        <v>4</v>
      </c>
      <c r="O2" s="7">
        <v>100</v>
      </c>
      <c r="P2" s="7">
        <v>25</v>
      </c>
    </row>
    <row r="3" spans="1:16" x14ac:dyDescent="0.25">
      <c r="A3" t="s">
        <v>3</v>
      </c>
      <c r="B3" s="5">
        <v>44547</v>
      </c>
      <c r="C3" s="5">
        <v>44549</v>
      </c>
      <c r="D3" s="4">
        <v>0.67013888888888884</v>
      </c>
      <c r="E3" s="4">
        <v>0.90277777777777779</v>
      </c>
      <c r="F3" s="4">
        <v>7.2916666666666671E-2</v>
      </c>
      <c r="G3" s="4">
        <v>7.2916666666666671E-2</v>
      </c>
      <c r="H3" s="7">
        <v>28</v>
      </c>
      <c r="I3" s="7">
        <v>32</v>
      </c>
      <c r="J3" s="7">
        <v>60</v>
      </c>
      <c r="K3" s="9">
        <v>2.0868055555620231</v>
      </c>
      <c r="L3" s="2" t="s">
        <v>10</v>
      </c>
      <c r="M3" t="s">
        <v>11</v>
      </c>
      <c r="N3" s="10">
        <v>5</v>
      </c>
      <c r="O3" s="7">
        <v>200</v>
      </c>
      <c r="P3" s="7">
        <v>40</v>
      </c>
    </row>
    <row r="4" spans="1:16" x14ac:dyDescent="0.25">
      <c r="A4" t="s">
        <v>3</v>
      </c>
      <c r="B4" s="5">
        <v>44547</v>
      </c>
      <c r="C4" s="5">
        <v>44549</v>
      </c>
      <c r="D4" s="4">
        <v>0.67013888888888884</v>
      </c>
      <c r="E4" s="4">
        <v>0.90277777777777779</v>
      </c>
      <c r="F4" s="4">
        <v>7.2916666666666671E-2</v>
      </c>
      <c r="G4" s="4">
        <v>7.2916666666666671E-2</v>
      </c>
      <c r="H4" s="7">
        <v>28</v>
      </c>
      <c r="I4" s="7">
        <v>32</v>
      </c>
      <c r="J4" s="7">
        <v>60</v>
      </c>
      <c r="K4" s="9">
        <v>2.0868055555620231</v>
      </c>
      <c r="L4" s="2" t="s">
        <v>12</v>
      </c>
      <c r="M4" t="s">
        <v>13</v>
      </c>
      <c r="N4" s="10">
        <v>7</v>
      </c>
      <c r="O4" s="7">
        <v>350</v>
      </c>
      <c r="P4" s="7">
        <v>50</v>
      </c>
    </row>
    <row r="5" spans="1:16" x14ac:dyDescent="0.25">
      <c r="A5" t="s">
        <v>4</v>
      </c>
      <c r="B5" s="5">
        <v>44430</v>
      </c>
      <c r="C5" s="5">
        <v>44432</v>
      </c>
      <c r="D5" s="4">
        <v>0.82291666666666663</v>
      </c>
      <c r="E5" s="4">
        <v>0.83680555555555547</v>
      </c>
      <c r="F5" s="4">
        <v>5.2083333333333336E-2</v>
      </c>
      <c r="G5" s="4">
        <v>4.8611111111111112E-2</v>
      </c>
      <c r="H5" s="7">
        <v>31</v>
      </c>
      <c r="I5" s="7">
        <v>27.81</v>
      </c>
      <c r="J5" s="7">
        <v>58.81</v>
      </c>
      <c r="K5" s="9">
        <v>1.9131944444452529</v>
      </c>
      <c r="L5" s="2" t="s">
        <v>14</v>
      </c>
      <c r="M5" t="s">
        <v>15</v>
      </c>
      <c r="N5" s="10">
        <v>6</v>
      </c>
      <c r="O5" s="7">
        <v>450</v>
      </c>
      <c r="P5" s="7">
        <v>75</v>
      </c>
    </row>
    <row r="6" spans="1:16" x14ac:dyDescent="0.25">
      <c r="B6" s="2"/>
      <c r="C6" s="2"/>
      <c r="J6" s="2"/>
      <c r="K6" s="2"/>
      <c r="L6" s="2"/>
      <c r="N6" s="2"/>
    </row>
    <row r="7" spans="1:16" x14ac:dyDescent="0.25">
      <c r="B7" s="2"/>
      <c r="C7" s="2"/>
      <c r="J7" s="2"/>
      <c r="K7" s="2"/>
      <c r="L7" s="2"/>
      <c r="N7" s="2"/>
    </row>
    <row r="8" spans="1:16" x14ac:dyDescent="0.25">
      <c r="B8" s="2"/>
      <c r="C8" s="2"/>
      <c r="J8" s="2"/>
      <c r="K8" s="2"/>
      <c r="L8" s="2"/>
      <c r="N8" s="2"/>
    </row>
    <row r="9" spans="1:16" x14ac:dyDescent="0.25">
      <c r="B9" s="2"/>
      <c r="C9" s="2"/>
      <c r="J9" s="2"/>
      <c r="K9" s="2"/>
      <c r="L9" s="2"/>
      <c r="N9" s="2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14B5-DB1A-4D33-B04D-6A862C7D97F0}">
  <sheetPr codeName="Hoja5"/>
  <dimension ref="A1:A2"/>
  <sheetViews>
    <sheetView workbookViewId="0">
      <selection sqref="A1:A4"/>
    </sheetView>
  </sheetViews>
  <sheetFormatPr baseColWidth="10" defaultRowHeight="15" x14ac:dyDescent="0.25"/>
  <sheetData>
    <row r="1" spans="1:1" x14ac:dyDescent="0.25">
      <c r="A1" t="s">
        <v>3</v>
      </c>
    </row>
    <row r="2" spans="1:1" x14ac:dyDescent="0.25">
      <c r="A2" t="s">
        <v>4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B040CC4C525641A8A247F08D12DFA3" ma:contentTypeVersion="13" ma:contentTypeDescription="Create a new document." ma:contentTypeScope="" ma:versionID="1e85278800ef76614319b9c951679009">
  <xsd:schema xmlns:xsd="http://www.w3.org/2001/XMLSchema" xmlns:xs="http://www.w3.org/2001/XMLSchema" xmlns:p="http://schemas.microsoft.com/office/2006/metadata/properties" xmlns:ns3="97ff79ae-51b4-4e1e-bdf7-64d4bb6c8ea0" xmlns:ns4="47aeed1a-cac6-41a5-936d-522ea1a1b56e" targetNamespace="http://schemas.microsoft.com/office/2006/metadata/properties" ma:root="true" ma:fieldsID="37cfc5cec9f91d4c07c9128b4545e40c" ns3:_="" ns4:_="">
    <xsd:import namespace="97ff79ae-51b4-4e1e-bdf7-64d4bb6c8ea0"/>
    <xsd:import namespace="47aeed1a-cac6-41a5-936d-522ea1a1b56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ff79ae-51b4-4e1e-bdf7-64d4bb6c8ea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aeed1a-cac6-41a5-936d-522ea1a1b5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FCF5E327-C29E-4E68-9A24-75117AC32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ff79ae-51b4-4e1e-bdf7-64d4bb6c8ea0"/>
    <ds:schemaRef ds:uri="47aeed1a-cac6-41a5-936d-522ea1a1b5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453882-D4CF-42E3-85A6-1F8083F79D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59E11C7-9F47-47B8-BDC3-E2C9CC7611F1}">
  <ds:schemaRefs>
    <ds:schemaRef ds:uri="http://purl.org/dc/terms/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47aeed1a-cac6-41a5-936d-522ea1a1b56e"/>
    <ds:schemaRef ds:uri="97ff79ae-51b4-4e1e-bdf7-64d4bb6c8ea0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C2798E0D-FD32-48E4-A047-0635B9C491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AÑADIR</vt:lpstr>
      <vt:lpstr>RESUMEN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n372281</dc:creator>
  <cp:lastModifiedBy>DE LA CRUZ FUERTES JOEL</cp:lastModifiedBy>
  <dcterms:created xsi:type="dcterms:W3CDTF">2021-07-27T09:53:05Z</dcterms:created>
  <dcterms:modified xsi:type="dcterms:W3CDTF">2021-07-27T14:57:32Z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0x01010081B040CC4C525641A8A247F08D12DFA3</vt:lpwstr>
  </property>
  <property fmtid="{D5CDD505-2E9C-101B-9397-08002B2CF9AE}" pid="3" name="MSIP_Label_41b88ec2-a72b-4523-9e84-0458a1764731_Enabled">
    <vt:lpwstr>True</vt:lpwstr>
  </property>
  <property fmtid="{D5CDD505-2E9C-101B-9397-08002B2CF9AE}" pid="4" name="MSIP_Label_41b88ec2-a72b-4523-9e84-0458a1764731_SiteId">
    <vt:lpwstr>35595a02-4d6d-44ac-99e1-f9ab4cd872db</vt:lpwstr>
  </property>
  <property fmtid="{D5CDD505-2E9C-101B-9397-08002B2CF9AE}" pid="5" name="MSIP_Label_41b88ec2-a72b-4523-9e84-0458a1764731_Owner">
    <vt:lpwstr>n372281@gruposantander.es</vt:lpwstr>
  </property>
  <property fmtid="{D5CDD505-2E9C-101B-9397-08002B2CF9AE}" pid="6" name="MSIP_Label_41b88ec2-a72b-4523-9e84-0458a1764731_SetDate">
    <vt:lpwstr>2021-07-27T14:14:36.6014767Z</vt:lpwstr>
  </property>
  <property fmtid="{D5CDD505-2E9C-101B-9397-08002B2CF9AE}" pid="7" name="MSIP_Label_41b88ec2-a72b-4523-9e84-0458a1764731_Name">
    <vt:lpwstr>Public</vt:lpwstr>
  </property>
  <property fmtid="{D5CDD505-2E9C-101B-9397-08002B2CF9AE}" pid="8" name="MSIP_Label_41b88ec2-a72b-4523-9e84-0458a1764731_Application">
    <vt:lpwstr>Microsoft Azure Information Protection</vt:lpwstr>
  </property>
  <property fmtid="{D5CDD505-2E9C-101B-9397-08002B2CF9AE}" pid="9" name="MSIP_Label_41b88ec2-a72b-4523-9e84-0458a1764731_ActionId">
    <vt:lpwstr>07cd8408-401b-491d-b0eb-1ea1769ce6d8</vt:lpwstr>
  </property>
  <property fmtid="{D5CDD505-2E9C-101B-9397-08002B2CF9AE}" pid="10" name="MSIP_Label_41b88ec2-a72b-4523-9e84-0458a1764731_Extended_MSFT_Method">
    <vt:lpwstr>Manual</vt:lpwstr>
  </property>
  <property fmtid="{D5CDD505-2E9C-101B-9397-08002B2CF9AE}" pid="11" name="Sensitivity">
    <vt:lpwstr>Public</vt:lpwstr>
  </property>
</Properties>
</file>